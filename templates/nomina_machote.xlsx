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autoCompressPictures="0" defaultThemeVersion="124226"/>
  <bookViews>
    <workbookView xWindow="-108" yWindow="-108" windowWidth="23256" windowHeight="13176" tabRatio="602" activeTab="2"/>
  </bookViews>
  <sheets>
    <sheet name="19.20 JUNIO" sheetId="7" r:id="rId1"/>
    <sheet name="Nómina Op." sheetId="10" r:id="rId2"/>
    <sheet name="RP" sheetId="9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9" i="7" l="1"/>
  <c r="I98" i="7"/>
  <c r="E14" i="10" l="1"/>
  <c r="I74" i="7"/>
  <c r="I70" i="7"/>
  <c r="I64" i="7"/>
  <c r="I69" i="7" l="1"/>
  <c r="I54" i="7"/>
  <c r="I39" i="7"/>
  <c r="I108" i="7"/>
  <c r="I100" i="7"/>
  <c r="I85" i="7"/>
  <c r="I82" i="7" l="1"/>
  <c r="I72" i="7"/>
  <c r="I73" i="7"/>
  <c r="I68" i="7"/>
  <c r="I20" i="9" l="1"/>
  <c r="F20" i="9"/>
  <c r="I27" i="7"/>
  <c r="J20" i="9" l="1"/>
  <c r="I21" i="9"/>
  <c r="F21" i="9"/>
  <c r="I111" i="7"/>
  <c r="J21" i="9" l="1"/>
  <c r="F22" i="9"/>
  <c r="I22" i="9"/>
  <c r="I53" i="7"/>
  <c r="E13" i="10"/>
  <c r="E11" i="10"/>
  <c r="I107" i="7"/>
  <c r="I90" i="7"/>
  <c r="I95" i="7"/>
  <c r="I19" i="9"/>
  <c r="F19" i="9"/>
  <c r="I18" i="9"/>
  <c r="F18" i="9"/>
  <c r="I17" i="9"/>
  <c r="F17" i="9"/>
  <c r="I16" i="9"/>
  <c r="F16" i="9"/>
  <c r="J16" i="9" s="1"/>
  <c r="I15" i="9"/>
  <c r="F15" i="9"/>
  <c r="I14" i="9"/>
  <c r="F14" i="9"/>
  <c r="I13" i="9"/>
  <c r="F13" i="9"/>
  <c r="I12" i="9"/>
  <c r="F12" i="9"/>
  <c r="I11" i="9"/>
  <c r="F11" i="9"/>
  <c r="I10" i="9"/>
  <c r="F10" i="9"/>
  <c r="I9" i="9"/>
  <c r="F9" i="9"/>
  <c r="I97" i="7"/>
  <c r="I94" i="7"/>
  <c r="I91" i="7"/>
  <c r="I58" i="7"/>
  <c r="I96" i="7"/>
  <c r="I9" i="7"/>
  <c r="I10" i="7"/>
  <c r="I11" i="7"/>
  <c r="I12" i="7"/>
  <c r="I13" i="7"/>
  <c r="I17" i="7"/>
  <c r="I18" i="7"/>
  <c r="I19" i="7"/>
  <c r="I20" i="7"/>
  <c r="I26" i="7"/>
  <c r="I21" i="7"/>
  <c r="I22" i="7"/>
  <c r="I23" i="7"/>
  <c r="I28" i="7"/>
  <c r="I29" i="7"/>
  <c r="I30" i="7"/>
  <c r="I25" i="7"/>
  <c r="I24" i="7"/>
  <c r="I32" i="7"/>
  <c r="I33" i="7"/>
  <c r="I34" i="7"/>
  <c r="I35" i="7"/>
  <c r="I36" i="7"/>
  <c r="I37" i="7"/>
  <c r="I38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6" i="7"/>
  <c r="I59" i="7"/>
  <c r="I60" i="7"/>
  <c r="I63" i="7"/>
  <c r="I86" i="7"/>
  <c r="I75" i="7"/>
  <c r="I71" i="7"/>
  <c r="I83" i="7"/>
  <c r="I79" i="7"/>
  <c r="I65" i="7"/>
  <c r="I84" i="7"/>
  <c r="I66" i="7"/>
  <c r="I88" i="7"/>
  <c r="I81" i="7"/>
  <c r="I80" i="7"/>
  <c r="I67" i="7"/>
  <c r="I92" i="7"/>
  <c r="I93" i="7"/>
  <c r="I102" i="7"/>
  <c r="I109" i="7"/>
  <c r="I110" i="7"/>
  <c r="I113" i="7"/>
  <c r="I62" i="7"/>
  <c r="I78" i="7"/>
  <c r="I105" i="7"/>
  <c r="I104" i="7"/>
  <c r="I87" i="7"/>
  <c r="I77" i="7"/>
  <c r="I57" i="7"/>
  <c r="I76" i="7"/>
  <c r="J10" i="9" l="1"/>
  <c r="J14" i="9"/>
  <c r="J18" i="9"/>
  <c r="I114" i="7"/>
  <c r="I24" i="9"/>
  <c r="J22" i="9"/>
  <c r="F24" i="9"/>
  <c r="J11" i="9"/>
  <c r="J17" i="9"/>
  <c r="J19" i="9"/>
  <c r="J13" i="9"/>
  <c r="J9" i="9"/>
  <c r="J12" i="9"/>
  <c r="J15" i="9"/>
  <c r="J24" i="9" l="1"/>
</calcChain>
</file>

<file path=xl/sharedStrings.xml><?xml version="1.0" encoding="utf-8"?>
<sst xmlns="http://schemas.openxmlformats.org/spreadsheetml/2006/main" count="282" uniqueCount="161">
  <si>
    <t>COSTO UNITARIO</t>
  </si>
  <si>
    <t>TOTAL</t>
  </si>
  <si>
    <t>NOMBRE</t>
  </si>
  <si>
    <t>CUENTA</t>
  </si>
  <si>
    <t>PUESTO</t>
  </si>
  <si>
    <t>DIAS</t>
  </si>
  <si>
    <t>BARRA</t>
  </si>
  <si>
    <t>MESERO</t>
  </si>
  <si>
    <t xml:space="preserve"> </t>
  </si>
  <si>
    <t>SEMANA</t>
  </si>
  <si>
    <t>DJ</t>
  </si>
  <si>
    <t xml:space="preserve">AYUDANTES </t>
  </si>
  <si>
    <t>AYUDANTE</t>
  </si>
  <si>
    <t>SEGURIDAD</t>
  </si>
  <si>
    <t>CADENA</t>
  </si>
  <si>
    <t>BAÑOS</t>
  </si>
  <si>
    <t>RP</t>
  </si>
  <si>
    <t>FIRMA</t>
  </si>
  <si>
    <t>Monto</t>
  </si>
  <si>
    <t>FECHA INGRESO</t>
  </si>
  <si>
    <t>FECHA DE INGRESO</t>
  </si>
  <si>
    <t>CAPITÁN</t>
  </si>
  <si>
    <t>HOSTESS</t>
  </si>
  <si>
    <t>ELEMENTO SEGURIDAD</t>
  </si>
  <si>
    <t xml:space="preserve"> TOTAL </t>
  </si>
  <si>
    <t>TOTAL NÓMINA</t>
  </si>
  <si>
    <t>LUCES</t>
  </si>
  <si>
    <t>MESAS</t>
  </si>
  <si>
    <t>ENRIQUE SHAW</t>
  </si>
  <si>
    <t>PALOMO</t>
  </si>
  <si>
    <t>OSVALDO ALEJANDRO DIAZ PERAZA</t>
  </si>
  <si>
    <t>ALBERTO RICARDO JARA GARCIA</t>
  </si>
  <si>
    <t>ARMANDO JORGE CARDENAS  PADILLA</t>
  </si>
  <si>
    <t>EDMER URIEL HERNANDEZ BASILIO</t>
  </si>
  <si>
    <t>LIZETH VILLANUEVA CERVANTES</t>
  </si>
  <si>
    <t>LUIS ALBERTO CIGARROA JIMÉNEZ</t>
  </si>
  <si>
    <t>COVER</t>
  </si>
  <si>
    <t>ALEJANDRO VARGAS CUEVAS</t>
  </si>
  <si>
    <t>BRANDON DANIEL BEDOLLA VILLEGAS</t>
  </si>
  <si>
    <t>ROBERTO CARLOS MARTÍNEZ GAYTAN</t>
  </si>
  <si>
    <t>MARCO LUQUE CAMARENA</t>
  </si>
  <si>
    <t>ODALYS ELIZONDO ANGULO</t>
  </si>
  <si>
    <t>OSCAR IVAN DE ANDA PÉREZ</t>
  </si>
  <si>
    <t xml:space="preserve">AYUDANTE </t>
  </si>
  <si>
    <t>EDGAR DANIEL CAMARENA ESTRELLA</t>
  </si>
  <si>
    <t>ALEJO</t>
  </si>
  <si>
    <t>JUANA MARÍA IBARRA</t>
  </si>
  <si>
    <t>FRANCISCO JAVIER VALENZUELA</t>
  </si>
  <si>
    <t>MIGUEL MIRANDA</t>
  </si>
  <si>
    <t>REDES</t>
  </si>
  <si>
    <t>CARLOS CORONA</t>
  </si>
  <si>
    <t>MARCOS ADRIÁN LOZA CASANOVA</t>
  </si>
  <si>
    <t>LUIS ARTURO PÉREZ CORDOVA</t>
  </si>
  <si>
    <t xml:space="preserve">BRANDON ALEXIS </t>
  </si>
  <si>
    <t>VICTOR MANUEL OROZCO DÍAZ</t>
  </si>
  <si>
    <t>BRANDON HUITRON</t>
  </si>
  <si>
    <t>JARED DE JESUS ISIDRO ACOSTA</t>
  </si>
  <si>
    <t>FERNANDO RUÍZ FÉLIX</t>
  </si>
  <si>
    <t>ANGEL MAI BARTOLÓN</t>
  </si>
  <si>
    <t>VIERNES</t>
  </si>
  <si>
    <t>SÁBADO</t>
  </si>
  <si>
    <t>SUBTOTAL</t>
  </si>
  <si>
    <t>LUIS ZUÑIGA</t>
  </si>
  <si>
    <t>ALEXIS POMPA CRUZ</t>
  </si>
  <si>
    <t>YORDIN BELLO SÁNCHEZ</t>
  </si>
  <si>
    <t>MAYA</t>
  </si>
  <si>
    <t>ERICK CAMARENA LUQUE</t>
  </si>
  <si>
    <t>HÉCTOR ZEPEDA CASTELLANOS</t>
  </si>
  <si>
    <t>28/1272024</t>
  </si>
  <si>
    <t>ALFONSO EMMANUEL GALEANA NUÑEZ</t>
  </si>
  <si>
    <t>MARCO ANTONIO MEDRANO FLORES</t>
  </si>
  <si>
    <t>JUAN OVET SANTIAGO</t>
  </si>
  <si>
    <t>DANIEL VARGAS ACEVES</t>
  </si>
  <si>
    <t>KEVIN SARA LUNA</t>
  </si>
  <si>
    <t>MARTHA ALICIA GONZÁLEZ JARQUÍN</t>
  </si>
  <si>
    <t>ADMINISTRADOR</t>
  </si>
  <si>
    <t>ADDAIR FERNANDO MONDRAGÓN RÍOS</t>
  </si>
  <si>
    <t>JEFE DE BARRA</t>
  </si>
  <si>
    <t>SONIA LIZETH RODRÍGUEZ IBARRA</t>
  </si>
  <si>
    <t>CAJERA</t>
  </si>
  <si>
    <t>DAVID RUIZ FELIX</t>
  </si>
  <si>
    <t>COMPRAS E INVENTARIO</t>
  </si>
  <si>
    <t>JONATHAN LIMA SÁNCHEZ</t>
  </si>
  <si>
    <t>ÁNGEL NUÑEZ JARQUÍN</t>
  </si>
  <si>
    <t>JEFE DE SEGURIDAD</t>
  </si>
  <si>
    <t>CHRISTIAN OSMAR HURTADO NAVARRO</t>
  </si>
  <si>
    <t>9/05/20255</t>
  </si>
  <si>
    <t>JONATHAN VELAZQUEZ PÉREZ</t>
  </si>
  <si>
    <t>ALFREDO LAMBARENA HERNÁNDEZ</t>
  </si>
  <si>
    <t>MIGUEL SALDAÑA DOMÍNGUEZ</t>
  </si>
  <si>
    <t>ELLIOT GEOVANI GARCÍA CERVANTES</t>
  </si>
  <si>
    <t>ANGEL GERARDO RODRIGUEZ ACUÑA</t>
  </si>
  <si>
    <t>MOISÉS RAMÍREZ</t>
  </si>
  <si>
    <t>BRANDON BORJA VAZQUEZ</t>
  </si>
  <si>
    <t>ALEJANDRA GUADALUPE VEGA RUELAS</t>
  </si>
  <si>
    <t>JOSÉ MARÍA GARCÍA</t>
  </si>
  <si>
    <t>ALEJANDRO SÁNCHEZ</t>
  </si>
  <si>
    <t>JOSÉ MIGUEL BEAS MORALES</t>
  </si>
  <si>
    <t>JORGE BARAJAS GURROLA</t>
  </si>
  <si>
    <t>JAVIER ALONSO LÓPEZ</t>
  </si>
  <si>
    <t>FRANCISCO JAVIER VALDEZ MAYORGA</t>
  </si>
  <si>
    <t>LINM FERNANDA CUEVAS CISNEROS</t>
  </si>
  <si>
    <t>EDUARDO</t>
  </si>
  <si>
    <t>JOVANNA MELISA GAYTAN ROCHA</t>
  </si>
  <si>
    <t>JOAQUIN ALEXANDER AMADOR LEON</t>
  </si>
  <si>
    <t>KEVIN AGUILERA BOCANEGRA</t>
  </si>
  <si>
    <t>COTA</t>
  </si>
  <si>
    <t>LEXI JOVANA CARDENAS PEÑALOZA</t>
  </si>
  <si>
    <t>MARLA VIRIDIANA  ESPINOZA SOTO</t>
  </si>
  <si>
    <t>VALERIA ELIZABETH GOMEZ CAMPOS</t>
  </si>
  <si>
    <t>LEIA MICHELLE VEGA OCHOA</t>
  </si>
  <si>
    <t>DISEÑADOR</t>
  </si>
  <si>
    <t>MARCO ANTONIO LABASTIDA MUÑIZ</t>
  </si>
  <si>
    <t>KEVIN</t>
  </si>
  <si>
    <t>MAURICIO MEDINA MACIAS</t>
  </si>
  <si>
    <t>CARLOS DANIEL LOZANO QUIROZ</t>
  </si>
  <si>
    <t>JOSÉ CARLOS CASTILLO HERNANDEZ</t>
  </si>
  <si>
    <t>FOTÓGRAFO</t>
  </si>
  <si>
    <t>VICTOR</t>
  </si>
  <si>
    <t>ELEMENTO SEGURIDAD2</t>
  </si>
  <si>
    <t>SINAHI CASTILLO PORTILLA</t>
  </si>
  <si>
    <t>HELEN JAQUELINE LAURO GURROLA</t>
  </si>
  <si>
    <t>SHERLYN ROMERO BAÑOS</t>
  </si>
  <si>
    <t>ATZEL GHIBRAN DURAN ROBLEDO</t>
  </si>
  <si>
    <t xml:space="preserve">KARELY </t>
  </si>
  <si>
    <t>JUAN</t>
  </si>
  <si>
    <t>SERGIO EDUARDO ALCALA CARRANZA</t>
  </si>
  <si>
    <t>DAFNE</t>
  </si>
  <si>
    <t>ALEN RICARDO CASTELLANO TORRES</t>
  </si>
  <si>
    <t>VICTOR ALEJANDRO PORTILLO ROJAS</t>
  </si>
  <si>
    <t>NAOMA</t>
  </si>
  <si>
    <t>JENNIFER</t>
  </si>
  <si>
    <t>DANIEL RUIZ RAMIREZ</t>
  </si>
  <si>
    <t>DAVID</t>
  </si>
  <si>
    <t>JOSE OCTAVIO ROJO LOPEZ</t>
  </si>
  <si>
    <t>ALBERTO ZERMEN</t>
  </si>
  <si>
    <t>DANIEL PEREZ HERNANDEZ</t>
  </si>
  <si>
    <t>1</t>
  </si>
  <si>
    <t>DANIEL HERNANDEZ PEREZ</t>
  </si>
  <si>
    <t>JESUS RUBIO</t>
  </si>
  <si>
    <t>DJ INVITADO ARTURO MORA</t>
  </si>
  <si>
    <t>DAVID LEONARDO</t>
  </si>
  <si>
    <t>LEONARDO DANIEL</t>
  </si>
  <si>
    <t>CARLOS HERNANDEZ</t>
  </si>
  <si>
    <t>JUAN ANTONIO ARIZMENDI</t>
  </si>
  <si>
    <t>ZAYRA MEDINA</t>
  </si>
  <si>
    <t>VICTOR HUGO VALDEZ ABARCA</t>
  </si>
  <si>
    <t>MARINA FRANCIS TELLEZ TEPALE</t>
  </si>
  <si>
    <t>RICARDO BERNARDINO RAMIREZ</t>
  </si>
  <si>
    <t>BOJORQUEZ AGUILAR KAROL</t>
  </si>
  <si>
    <t>BELTRAN</t>
  </si>
  <si>
    <t>OTMAR</t>
  </si>
  <si>
    <t>OMAR BONILLA</t>
  </si>
  <si>
    <t>ISRAEL PEÑA</t>
  </si>
  <si>
    <t>JENNIFER RAYA PULIDO</t>
  </si>
  <si>
    <t>KAROL</t>
  </si>
  <si>
    <t>2</t>
  </si>
  <si>
    <t>19.20 JUNIO</t>
  </si>
  <si>
    <t>MICHELLE CELICEO</t>
  </si>
  <si>
    <t>DANIELA ALEJANDRA HERNADEZ PEREZ</t>
  </si>
  <si>
    <t>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</si>
</sst>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</font>
    <font>
      <b/>
      <sz val="11"/>
      <color rgb="FFFFFFFF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</font>
    <font>
      <sz val="12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  <font>
      <sz val="12"/>
      <name val="Calibri Light"/>
      <family val="2"/>
    </font>
    <font>
      <sz val="12"/>
      <color rgb="FFFF0000"/>
      <name val="Calibri Light"/>
      <family val="2"/>
    </font>
    <font>
      <b/>
      <sz val="12"/>
      <name val="Calibri Light"/>
      <family val="2"/>
    </font>
    <font>
      <sz val="12"/>
      <color rgb="FF222222"/>
      <name val="Calibri Light"/>
      <family val="2"/>
    </font>
    <font>
      <b/>
      <sz val="12"/>
      <color rgb="FF222222"/>
      <name val="Calibri Light"/>
      <family val="2"/>
    </font>
    <font>
      <i/>
      <sz val="12"/>
      <color theme="1"/>
      <name val="Calibri Light"/>
      <family val="2"/>
    </font>
    <font>
      <b/>
      <sz val="12"/>
      <color rgb="FFFF0000"/>
      <name val="Calibri Light"/>
      <family val="2"/>
    </font>
    <font>
      <b/>
      <i/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1"/>
      <color rgb="FFFF000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49">
    <xf numFmtId="0" fontId="0" fillId="0" borderId="0" xfId="0"/>
    <xf numFmtId="0" fontId="4" fillId="2" borderId="0" xfId="0" applyFont="1" applyFill="1"/>
    <xf numFmtId="0" fontId="6" fillId="3" borderId="1" xfId="0" applyFont="1" applyFill="1" applyBorder="1"/>
    <xf numFmtId="0" fontId="4" fillId="2" borderId="0" xfId="0" applyFont="1" applyFill="1" applyBorder="1"/>
    <xf numFmtId="0" fontId="1" fillId="0" borderId="1" xfId="0" applyFont="1" applyFill="1" applyBorder="1"/>
    <xf numFmtId="0" fontId="0" fillId="0" borderId="0" xfId="0" applyBorder="1"/>
    <xf numFmtId="0" fontId="4" fillId="0" borderId="0" xfId="0" applyFont="1" applyFill="1"/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/>
    <xf numFmtId="43" fontId="0" fillId="0" borderId="0" xfId="30" applyFont="1"/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4" borderId="1" xfId="0" applyFill="1" applyBorder="1"/>
    <xf numFmtId="0" fontId="5" fillId="6" borderId="2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Font="1"/>
    <xf numFmtId="43" fontId="0" fillId="0" borderId="0" xfId="30" applyFont="1" applyFill="1"/>
    <xf numFmtId="43" fontId="0" fillId="0" borderId="0" xfId="30" applyFont="1" applyBorder="1"/>
    <xf numFmtId="0" fontId="8" fillId="0" borderId="0" xfId="0" applyFont="1"/>
    <xf numFmtId="0" fontId="6" fillId="2" borderId="0" xfId="0" applyFont="1" applyFill="1"/>
    <xf numFmtId="0" fontId="0" fillId="0" borderId="0" xfId="0" applyBorder="1" applyAlignment="1">
      <alignment horizontal="center"/>
    </xf>
    <xf numFmtId="44" fontId="0" fillId="0" borderId="0" xfId="29" applyFont="1"/>
    <xf numFmtId="0" fontId="6" fillId="0" borderId="0" xfId="0" applyFont="1" applyFill="1" applyBorder="1"/>
    <xf numFmtId="0" fontId="6" fillId="0" borderId="0" xfId="0" applyFont="1" applyFill="1"/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4" fontId="1" fillId="0" borderId="1" xfId="29" applyFont="1" applyFill="1" applyBorder="1"/>
    <xf numFmtId="44" fontId="1" fillId="0" borderId="1" xfId="29" applyFont="1" applyFill="1" applyBorder="1" applyAlignment="1">
      <alignment horizontal="center"/>
    </xf>
    <xf numFmtId="44" fontId="6" fillId="3" borderId="1" xfId="29" applyFont="1" applyFill="1" applyBorder="1"/>
    <xf numFmtId="49" fontId="1" fillId="12" borderId="1" xfId="29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4" fontId="1" fillId="0" borderId="0" xfId="29" applyFont="1" applyFill="1" applyBorder="1"/>
    <xf numFmtId="49" fontId="1" fillId="0" borderId="0" xfId="29" applyNumberFormat="1" applyFont="1" applyFill="1" applyBorder="1" applyAlignment="1">
      <alignment horizontal="center"/>
    </xf>
    <xf numFmtId="44" fontId="1" fillId="0" borderId="0" xfId="29" applyFont="1" applyFill="1" applyBorder="1" applyAlignment="1">
      <alignment horizontal="center"/>
    </xf>
    <xf numFmtId="43" fontId="1" fillId="0" borderId="0" xfId="30" applyFont="1" applyFill="1" applyBorder="1" applyAlignment="1">
      <alignment horizontal="center"/>
    </xf>
    <xf numFmtId="0" fontId="6" fillId="10" borderId="3" xfId="0" applyFont="1" applyFill="1" applyBorder="1"/>
    <xf numFmtId="43" fontId="4" fillId="0" borderId="0" xfId="0" applyNumberFormat="1" applyFont="1" applyFill="1" applyBorder="1"/>
    <xf numFmtId="43" fontId="9" fillId="11" borderId="14" xfId="30" applyFont="1" applyFill="1" applyBorder="1" applyAlignment="1">
      <alignment horizontal="center"/>
    </xf>
    <xf numFmtId="0" fontId="6" fillId="10" borderId="14" xfId="0" applyFont="1" applyFill="1" applyBorder="1"/>
    <xf numFmtId="44" fontId="9" fillId="4" borderId="4" xfId="29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44" fontId="1" fillId="0" borderId="16" xfId="29" applyFont="1" applyFill="1" applyBorder="1"/>
    <xf numFmtId="49" fontId="1" fillId="12" borderId="16" xfId="29" applyNumberFormat="1" applyFont="1" applyFill="1" applyBorder="1" applyAlignment="1">
      <alignment horizontal="center"/>
    </xf>
    <xf numFmtId="44" fontId="1" fillId="0" borderId="16" xfId="29" applyFont="1" applyFill="1" applyBorder="1" applyAlignment="1">
      <alignment horizontal="center"/>
    </xf>
    <xf numFmtId="43" fontId="1" fillId="0" borderId="11" xfId="3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43" fontId="1" fillId="0" borderId="6" xfId="3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44" fontId="1" fillId="0" borderId="15" xfId="29" applyFont="1" applyFill="1" applyBorder="1"/>
    <xf numFmtId="49" fontId="1" fillId="12" borderId="15" xfId="29" applyNumberFormat="1" applyFont="1" applyFill="1" applyBorder="1" applyAlignment="1">
      <alignment horizontal="center"/>
    </xf>
    <xf numFmtId="44" fontId="1" fillId="0" borderId="15" xfId="29" applyFont="1" applyFill="1" applyBorder="1" applyAlignment="1">
      <alignment horizontal="center"/>
    </xf>
    <xf numFmtId="43" fontId="1" fillId="0" borderId="8" xfId="30" applyFont="1" applyFill="1" applyBorder="1" applyAlignment="1">
      <alignment horizontal="center"/>
    </xf>
    <xf numFmtId="0" fontId="10" fillId="0" borderId="0" xfId="0" applyFont="1"/>
    <xf numFmtId="0" fontId="1" fillId="0" borderId="18" xfId="0" applyFont="1" applyFill="1" applyBorder="1" applyAlignment="1">
      <alignment horizontal="center" vertical="center"/>
    </xf>
    <xf numFmtId="49" fontId="1" fillId="12" borderId="12" xfId="29" applyNumberFormat="1" applyFont="1" applyFill="1" applyBorder="1" applyAlignment="1">
      <alignment horizontal="center"/>
    </xf>
    <xf numFmtId="43" fontId="1" fillId="0" borderId="17" xfId="30" applyFont="1" applyFill="1" applyBorder="1" applyAlignment="1">
      <alignment horizontal="center"/>
    </xf>
    <xf numFmtId="44" fontId="1" fillId="0" borderId="1" xfId="29" applyFont="1" applyFill="1" applyBorder="1" applyAlignment="1">
      <alignment horizontal="center" vertical="center"/>
    </xf>
    <xf numFmtId="0" fontId="14" fillId="0" borderId="1" xfId="0" applyFont="1" applyFill="1" applyBorder="1"/>
    <xf numFmtId="8" fontId="15" fillId="3" borderId="1" xfId="0" applyNumberFormat="1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Fill="1" applyBorder="1"/>
    <xf numFmtId="0" fontId="17" fillId="0" borderId="0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8" fontId="14" fillId="0" borderId="1" xfId="0" applyNumberFormat="1" applyFont="1" applyFill="1" applyBorder="1" applyAlignment="1">
      <alignment horizontal="center"/>
    </xf>
    <xf numFmtId="8" fontId="14" fillId="0" borderId="1" xfId="29" applyNumberFormat="1" applyFont="1" applyFill="1" applyBorder="1" applyAlignment="1">
      <alignment horizontal="right"/>
    </xf>
    <xf numFmtId="14" fontId="14" fillId="0" borderId="1" xfId="0" applyNumberFormat="1" applyFont="1" applyFill="1" applyBorder="1" applyAlignment="1">
      <alignment horizontal="center"/>
    </xf>
    <xf numFmtId="44" fontId="14" fillId="0" borderId="1" xfId="29" applyFont="1" applyFill="1" applyBorder="1" applyAlignment="1">
      <alignment horizontal="right"/>
    </xf>
    <xf numFmtId="0" fontId="19" fillId="5" borderId="1" xfId="0" applyFont="1" applyFill="1" applyBorder="1"/>
    <xf numFmtId="0" fontId="19" fillId="5" borderId="1" xfId="0" applyFont="1" applyFill="1" applyBorder="1" applyAlignment="1">
      <alignment horizontal="center"/>
    </xf>
    <xf numFmtId="44" fontId="19" fillId="5" borderId="1" xfId="0" applyNumberFormat="1" applyFont="1" applyFill="1" applyBorder="1"/>
    <xf numFmtId="44" fontId="17" fillId="5" borderId="1" xfId="0" applyNumberFormat="1" applyFont="1" applyFill="1" applyBorder="1"/>
    <xf numFmtId="44" fontId="17" fillId="5" borderId="1" xfId="29" applyFont="1" applyFill="1" applyBorder="1"/>
    <xf numFmtId="0" fontId="14" fillId="0" borderId="0" xfId="0" applyFont="1" applyFill="1"/>
    <xf numFmtId="0" fontId="19" fillId="0" borderId="1" xfId="0" applyFont="1" applyFill="1" applyBorder="1"/>
    <xf numFmtId="14" fontId="19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44" fontId="17" fillId="0" borderId="1" xfId="0" applyNumberFormat="1" applyFont="1" applyFill="1" applyBorder="1"/>
    <xf numFmtId="44" fontId="17" fillId="0" borderId="1" xfId="29" applyFont="1" applyFill="1" applyBorder="1"/>
    <xf numFmtId="44" fontId="14" fillId="0" borderId="1" xfId="0" applyNumberFormat="1" applyFont="1" applyFill="1" applyBorder="1"/>
    <xf numFmtId="44" fontId="14" fillId="0" borderId="1" xfId="29" applyFont="1" applyFill="1" applyBorder="1"/>
    <xf numFmtId="0" fontId="20" fillId="0" borderId="0" xfId="0" applyFont="1" applyFill="1"/>
    <xf numFmtId="0" fontId="20" fillId="9" borderId="0" xfId="0" applyFont="1" applyFill="1"/>
    <xf numFmtId="0" fontId="19" fillId="11" borderId="1" xfId="0" applyFont="1" applyFill="1" applyBorder="1"/>
    <xf numFmtId="14" fontId="19" fillId="11" borderId="1" xfId="0" applyNumberFormat="1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44" fontId="17" fillId="11" borderId="1" xfId="0" applyNumberFormat="1" applyFont="1" applyFill="1" applyBorder="1"/>
    <xf numFmtId="44" fontId="17" fillId="11" borderId="1" xfId="29" applyFont="1" applyFill="1" applyBorder="1"/>
    <xf numFmtId="14" fontId="19" fillId="5" borderId="1" xfId="0" applyNumberFormat="1" applyFont="1" applyFill="1" applyBorder="1" applyAlignment="1">
      <alignment horizontal="center"/>
    </xf>
    <xf numFmtId="44" fontId="14" fillId="0" borderId="0" xfId="29" applyFont="1"/>
    <xf numFmtId="0" fontId="21" fillId="11" borderId="1" xfId="0" applyFont="1" applyFill="1" applyBorder="1"/>
    <xf numFmtId="14" fontId="21" fillId="11" borderId="1" xfId="0" applyNumberFormat="1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44" fontId="15" fillId="11" borderId="1" xfId="0" applyNumberFormat="1" applyFont="1" applyFill="1" applyBorder="1"/>
    <xf numFmtId="0" fontId="22" fillId="11" borderId="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4" fillId="0" borderId="0" xfId="0" applyFont="1" applyFill="1"/>
    <xf numFmtId="0" fontId="21" fillId="0" borderId="1" xfId="0" applyFont="1" applyFill="1" applyBorder="1"/>
    <xf numFmtId="14" fontId="21" fillId="0" borderId="1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5" fillId="0" borderId="0" xfId="0" applyFont="1" applyFill="1"/>
    <xf numFmtId="0" fontId="25" fillId="0" borderId="1" xfId="0" applyFont="1" applyFill="1" applyBorder="1"/>
    <xf numFmtId="14" fontId="25" fillId="0" borderId="1" xfId="0" applyNumberFormat="1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/>
    </xf>
    <xf numFmtId="44" fontId="25" fillId="0" borderId="1" xfId="0" applyNumberFormat="1" applyFont="1" applyFill="1" applyBorder="1"/>
    <xf numFmtId="44" fontId="25" fillId="0" borderId="1" xfId="29" applyFont="1" applyFill="1" applyBorder="1"/>
    <xf numFmtId="0" fontId="22" fillId="0" borderId="1" xfId="0" applyFont="1" applyFill="1" applyBorder="1" applyAlignment="1">
      <alignment horizontal="center"/>
    </xf>
    <xf numFmtId="0" fontId="14" fillId="11" borderId="1" xfId="0" applyFont="1" applyFill="1" applyBorder="1"/>
    <xf numFmtId="0" fontId="14" fillId="8" borderId="0" xfId="0" applyFont="1" applyFill="1"/>
    <xf numFmtId="44" fontId="14" fillId="0" borderId="0" xfId="0" applyNumberFormat="1" applyFont="1"/>
    <xf numFmtId="44" fontId="19" fillId="0" borderId="1" xfId="0" applyNumberFormat="1" applyFont="1" applyFill="1" applyBorder="1"/>
    <xf numFmtId="44" fontId="19" fillId="11" borderId="1" xfId="0" applyNumberFormat="1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horizontal="center"/>
    </xf>
    <xf numFmtId="0" fontId="17" fillId="0" borderId="1" xfId="0" applyFont="1" applyFill="1" applyBorder="1"/>
    <xf numFmtId="44" fontId="15" fillId="3" borderId="1" xfId="0" applyNumberFormat="1" applyFont="1" applyFill="1" applyBorder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43" fontId="17" fillId="2" borderId="0" xfId="30" applyFont="1" applyFill="1"/>
    <xf numFmtId="8" fontId="26" fillId="0" borderId="0" xfId="0" applyNumberFormat="1" applyFont="1" applyFill="1"/>
    <xf numFmtId="43" fontId="14" fillId="0" borderId="0" xfId="30" applyFont="1"/>
    <xf numFmtId="8" fontId="14" fillId="0" borderId="0" xfId="0" applyNumberFormat="1" applyFont="1"/>
    <xf numFmtId="0" fontId="27" fillId="0" borderId="0" xfId="0" applyFont="1" applyFill="1" applyBorder="1"/>
    <xf numFmtId="0" fontId="11" fillId="6" borderId="9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27" fillId="0" borderId="1" xfId="0" applyFont="1" applyFill="1" applyBorder="1"/>
    <xf numFmtId="49" fontId="16" fillId="7" borderId="3" xfId="0" applyNumberFormat="1" applyFont="1" applyFill="1" applyBorder="1" applyAlignment="1">
      <alignment horizontal="center"/>
    </xf>
    <xf numFmtId="49" fontId="16" fillId="7" borderId="4" xfId="0" applyNumberFormat="1" applyFont="1" applyFill="1" applyBorder="1" applyAlignment="1">
      <alignment horizontal="center"/>
    </xf>
    <xf numFmtId="49" fontId="8" fillId="7" borderId="3" xfId="0" applyNumberFormat="1" applyFont="1" applyFill="1" applyBorder="1" applyAlignment="1">
      <alignment horizontal="center"/>
    </xf>
    <xf numFmtId="49" fontId="8" fillId="7" borderId="4" xfId="0" applyNumberFormat="1" applyFont="1" applyFill="1" applyBorder="1" applyAlignment="1">
      <alignment horizontal="center"/>
    </xf>
    <xf numFmtId="16" fontId="8" fillId="7" borderId="3" xfId="0" applyNumberFormat="1" applyFont="1" applyFill="1" applyBorder="1" applyAlignment="1">
      <alignment horizontal="center"/>
    </xf>
    <xf numFmtId="16" fontId="8" fillId="7" borderId="14" xfId="0" applyNumberFormat="1" applyFont="1" applyFill="1" applyBorder="1" applyAlignment="1">
      <alignment horizontal="center"/>
    </xf>
    <xf numFmtId="16" fontId="8" fillId="7" borderId="4" xfId="0" applyNumberFormat="1" applyFont="1" applyFill="1" applyBorder="1" applyAlignment="1">
      <alignment horizontal="center"/>
    </xf>
  </cellXfs>
  <cellStyles count="3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Millares" xfId="30" builtinId="3"/>
    <cellStyle name="Moneda" xfId="29" builtinId="4"/>
    <cellStyle name="Normal" xfId="0" builtinId="0"/>
  </cellStyles>
  <dxfs count="0"/>
  <tableStyles count="0" defaultTableStyle="TableStyleMedium2" defaultPivotStyle="PivotStyleLight16"/>
  <colors>
    <mruColors>
      <color rgb="FFFF0066"/>
      <color rgb="FFD9E5BD"/>
      <color rgb="FFF41484"/>
      <color rgb="FFEBFC08"/>
      <color rgb="FF99FFCC"/>
      <color rgb="FF03D71C"/>
      <color rgb="FF9F33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0</xdr:row>
          <xdr:rowOff>22860</xdr:rowOff>
        </xdr:from>
        <xdr:to>
          <xdr:col>1</xdr:col>
          <xdr:colOff>1600200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</xdr:row>
          <xdr:rowOff>22860</xdr:rowOff>
        </xdr:from>
        <xdr:to>
          <xdr:col>4</xdr:col>
          <xdr:colOff>175260</xdr:colOff>
          <xdr:row>3</xdr:row>
          <xdr:rowOff>7620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601980</xdr:colOff>
          <xdr:row>0</xdr:row>
          <xdr:rowOff>91440</xdr:rowOff>
        </xdr:from>
        <xdr:to>
          <xdr:col>2</xdr:col>
          <xdr:colOff>312420</xdr:colOff>
          <xdr:row>2</xdr:row>
          <xdr:rowOff>99060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N122"/>
  <sheetViews>
    <sheetView zoomScale="88" zoomScaleNormal="88" workbookViewId="0">
      <pane ySplit="8" topLeftCell="A72" activePane="bottomLeft" state="frozen"/>
      <selection pane="bottomLeft" activeCell="B63" sqref="B63:B88"/>
    </sheetView>
  </sheetViews>
  <sheetFormatPr baseColWidth="10" defaultColWidth="10.88671875" defaultRowHeight="15.6" x14ac:dyDescent="0.3"/>
  <cols>
    <col min="1" max="1" width="6.6640625" style="65" customWidth="1"/>
    <col min="2" max="2" width="41.6640625" style="65" customWidth="1"/>
    <col min="3" max="3" width="16.5546875" style="66" customWidth="1"/>
    <col min="4" max="4" width="7.6640625" style="65" hidden="1" customWidth="1"/>
    <col min="5" max="5" width="21.109375" style="58" customWidth="1"/>
    <col min="6" max="6" width="9.33203125" style="65" customWidth="1"/>
    <col min="7" max="7" width="17.6640625" style="65" customWidth="1"/>
    <col min="8" max="8" width="8.109375" style="65" hidden="1" customWidth="1"/>
    <col min="9" max="9" width="24.6640625" style="65" customWidth="1"/>
    <col min="10" max="11" width="11.44140625" style="65" customWidth="1"/>
    <col min="12" max="16384" width="10.88671875" style="65"/>
  </cols>
  <sheetData>
    <row r="3" spans="2:12" ht="15.45" x14ac:dyDescent="0.35">
      <c r="B3" s="65" t="s">
        <v>8</v>
      </c>
    </row>
    <row r="4" spans="2:12" ht="16.05" thickBot="1" x14ac:dyDescent="0.4"/>
    <row r="5" spans="2:12" ht="15.75" customHeight="1" thickBot="1" x14ac:dyDescent="0.4">
      <c r="B5" s="142" t="s">
        <v>157</v>
      </c>
      <c r="C5" s="143"/>
    </row>
    <row r="6" spans="2:12" ht="16.05" thickBot="1" x14ac:dyDescent="0.4">
      <c r="B6" s="142"/>
      <c r="C6" s="143"/>
    </row>
    <row r="7" spans="2:12" ht="16.05" thickBot="1" x14ac:dyDescent="0.4">
      <c r="B7" s="67"/>
      <c r="C7" s="68"/>
      <c r="D7" s="67"/>
      <c r="E7" s="132"/>
      <c r="F7" s="67"/>
      <c r="G7" s="67"/>
      <c r="H7" s="67"/>
      <c r="I7" s="67"/>
    </row>
    <row r="8" spans="2:12" ht="15.45" x14ac:dyDescent="0.35">
      <c r="B8" s="69" t="s">
        <v>2</v>
      </c>
      <c r="C8" s="69" t="s">
        <v>19</v>
      </c>
      <c r="D8" s="69" t="s">
        <v>3</v>
      </c>
      <c r="E8" s="133" t="s">
        <v>4</v>
      </c>
      <c r="F8" s="69" t="s">
        <v>5</v>
      </c>
      <c r="G8" s="69" t="s">
        <v>0</v>
      </c>
      <c r="H8" s="70" t="s">
        <v>9</v>
      </c>
      <c r="I8" s="69" t="s">
        <v>9</v>
      </c>
    </row>
    <row r="9" spans="2:12" x14ac:dyDescent="0.3">
      <c r="B9" s="71" t="s">
        <v>74</v>
      </c>
      <c r="C9" s="72"/>
      <c r="D9" s="72"/>
      <c r="E9" s="134" t="s">
        <v>75</v>
      </c>
      <c r="F9" s="72" t="s">
        <v>9</v>
      </c>
      <c r="G9" s="73">
        <v>2000</v>
      </c>
      <c r="H9" s="72"/>
      <c r="I9" s="74">
        <f>G9</f>
        <v>2000</v>
      </c>
    </row>
    <row r="10" spans="2:12" x14ac:dyDescent="0.3">
      <c r="B10" s="71" t="s">
        <v>76</v>
      </c>
      <c r="C10" s="75">
        <v>44274</v>
      </c>
      <c r="D10" s="72"/>
      <c r="E10" s="134" t="s">
        <v>77</v>
      </c>
      <c r="F10" s="72" t="s">
        <v>9</v>
      </c>
      <c r="G10" s="73">
        <v>1500</v>
      </c>
      <c r="H10" s="72"/>
      <c r="I10" s="76">
        <f>1500</f>
        <v>1500</v>
      </c>
    </row>
    <row r="11" spans="2:12" x14ac:dyDescent="0.3">
      <c r="B11" s="71" t="s">
        <v>78</v>
      </c>
      <c r="C11" s="75">
        <v>43160</v>
      </c>
      <c r="D11" s="72"/>
      <c r="E11" s="134" t="s">
        <v>79</v>
      </c>
      <c r="F11" s="72" t="s">
        <v>9</v>
      </c>
      <c r="G11" s="73">
        <v>2000</v>
      </c>
      <c r="H11" s="72"/>
      <c r="I11" s="74">
        <f>G11</f>
        <v>2000</v>
      </c>
    </row>
    <row r="12" spans="2:12" ht="15.45" x14ac:dyDescent="0.35">
      <c r="B12" s="71" t="s">
        <v>79</v>
      </c>
      <c r="C12" s="75">
        <v>45180</v>
      </c>
      <c r="D12" s="72"/>
      <c r="E12" s="134" t="s">
        <v>79</v>
      </c>
      <c r="F12" s="72">
        <v>1</v>
      </c>
      <c r="G12" s="73">
        <v>800</v>
      </c>
      <c r="H12" s="72"/>
      <c r="I12" s="76">
        <f>F12*G12</f>
        <v>800</v>
      </c>
    </row>
    <row r="13" spans="2:12" ht="15.45" x14ac:dyDescent="0.35">
      <c r="B13" s="71" t="s">
        <v>80</v>
      </c>
      <c r="C13" s="75">
        <v>44582</v>
      </c>
      <c r="D13" s="72"/>
      <c r="E13" s="134" t="s">
        <v>81</v>
      </c>
      <c r="F13" s="72" t="s">
        <v>9</v>
      </c>
      <c r="G13" s="73">
        <v>1500</v>
      </c>
      <c r="H13" s="72"/>
      <c r="I13" s="74">
        <f>G13</f>
        <v>1500</v>
      </c>
    </row>
    <row r="14" spans="2:12" x14ac:dyDescent="0.3">
      <c r="B14" s="71" t="s">
        <v>82</v>
      </c>
      <c r="C14" s="72"/>
      <c r="D14" s="72"/>
      <c r="E14" s="134"/>
      <c r="F14" s="72"/>
      <c r="G14" s="73">
        <v>2000</v>
      </c>
      <c r="H14" s="72"/>
      <c r="I14" s="76">
        <v>2000</v>
      </c>
    </row>
    <row r="15" spans="2:12" x14ac:dyDescent="0.3">
      <c r="B15" s="71" t="s">
        <v>83</v>
      </c>
      <c r="C15" s="72"/>
      <c r="D15" s="72"/>
      <c r="E15" s="134"/>
      <c r="F15" s="72"/>
      <c r="G15" s="73">
        <v>2000</v>
      </c>
      <c r="H15" s="72"/>
      <c r="I15" s="76">
        <v>2000</v>
      </c>
    </row>
    <row r="16" spans="2:12" ht="15.45" x14ac:dyDescent="0.35">
      <c r="B16" s="77" t="s">
        <v>7</v>
      </c>
      <c r="C16" s="78"/>
      <c r="D16" s="78"/>
      <c r="E16" s="135"/>
      <c r="F16" s="78"/>
      <c r="G16" s="79"/>
      <c r="H16" s="80"/>
      <c r="I16" s="81"/>
      <c r="K16" s="82"/>
      <c r="L16" s="82"/>
    </row>
    <row r="17" spans="1:9" s="82" customFormat="1" x14ac:dyDescent="0.3">
      <c r="A17" s="82">
        <v>1</v>
      </c>
      <c r="B17" s="83" t="s">
        <v>39</v>
      </c>
      <c r="C17" s="84">
        <v>44799</v>
      </c>
      <c r="D17" s="85"/>
      <c r="E17" s="136" t="s">
        <v>7</v>
      </c>
      <c r="F17" s="85">
        <v>2</v>
      </c>
      <c r="G17" s="86">
        <v>65</v>
      </c>
      <c r="H17" s="86"/>
      <c r="I17" s="87">
        <f t="shared" ref="I17:I27" si="0">G17*F17</f>
        <v>130</v>
      </c>
    </row>
    <row r="18" spans="1:9" ht="15.45" x14ac:dyDescent="0.35">
      <c r="A18" s="82">
        <v>2</v>
      </c>
      <c r="B18" s="83" t="s">
        <v>41</v>
      </c>
      <c r="C18" s="84">
        <v>44708</v>
      </c>
      <c r="D18" s="85"/>
      <c r="E18" s="136" t="s">
        <v>7</v>
      </c>
      <c r="F18" s="85">
        <v>2</v>
      </c>
      <c r="G18" s="86">
        <v>65</v>
      </c>
      <c r="H18" s="86"/>
      <c r="I18" s="87">
        <f t="shared" si="0"/>
        <v>130</v>
      </c>
    </row>
    <row r="19" spans="1:9" ht="15.45" x14ac:dyDescent="0.35">
      <c r="A19" s="82">
        <v>3</v>
      </c>
      <c r="B19" s="83" t="s">
        <v>30</v>
      </c>
      <c r="C19" s="84">
        <v>44163</v>
      </c>
      <c r="D19" s="85"/>
      <c r="E19" s="136" t="s">
        <v>7</v>
      </c>
      <c r="F19" s="85">
        <v>2</v>
      </c>
      <c r="G19" s="86">
        <v>65</v>
      </c>
      <c r="H19" s="86"/>
      <c r="I19" s="87">
        <f t="shared" si="0"/>
        <v>130</v>
      </c>
    </row>
    <row r="20" spans="1:9" x14ac:dyDescent="0.3">
      <c r="A20" s="82">
        <v>4</v>
      </c>
      <c r="B20" s="83" t="s">
        <v>92</v>
      </c>
      <c r="C20" s="84">
        <v>45891</v>
      </c>
      <c r="D20" s="85"/>
      <c r="E20" s="136" t="s">
        <v>7</v>
      </c>
      <c r="F20" s="85"/>
      <c r="G20" s="86">
        <v>65</v>
      </c>
      <c r="H20" s="86"/>
      <c r="I20" s="87">
        <f t="shared" si="0"/>
        <v>0</v>
      </c>
    </row>
    <row r="21" spans="1:9" x14ac:dyDescent="0.3">
      <c r="A21" s="82">
        <v>5</v>
      </c>
      <c r="B21" s="83" t="s">
        <v>58</v>
      </c>
      <c r="C21" s="84">
        <v>45535</v>
      </c>
      <c r="D21" s="85"/>
      <c r="E21" s="136" t="s">
        <v>7</v>
      </c>
      <c r="F21" s="85">
        <v>2</v>
      </c>
      <c r="G21" s="86">
        <v>65</v>
      </c>
      <c r="H21" s="86"/>
      <c r="I21" s="87">
        <f>F21*G21</f>
        <v>130</v>
      </c>
    </row>
    <row r="22" spans="1:9" ht="15.45" x14ac:dyDescent="0.35">
      <c r="A22" s="82">
        <v>6</v>
      </c>
      <c r="B22" s="83" t="s">
        <v>55</v>
      </c>
      <c r="C22" s="84">
        <v>45450</v>
      </c>
      <c r="D22" s="85"/>
      <c r="E22" s="136" t="s">
        <v>7</v>
      </c>
      <c r="F22" s="85">
        <v>2</v>
      </c>
      <c r="G22" s="86">
        <v>65</v>
      </c>
      <c r="H22" s="86"/>
      <c r="I22" s="87">
        <f>G22*F22</f>
        <v>130</v>
      </c>
    </row>
    <row r="23" spans="1:9" ht="15.45" x14ac:dyDescent="0.35">
      <c r="A23" s="82">
        <v>7</v>
      </c>
      <c r="B23" s="83" t="s">
        <v>44</v>
      </c>
      <c r="C23" s="84">
        <v>44953</v>
      </c>
      <c r="D23" s="85"/>
      <c r="E23" s="136" t="s">
        <v>7</v>
      </c>
      <c r="F23" s="85">
        <v>2</v>
      </c>
      <c r="G23" s="86">
        <v>65</v>
      </c>
      <c r="H23" s="86"/>
      <c r="I23" s="87">
        <f>G23*F23</f>
        <v>130</v>
      </c>
    </row>
    <row r="24" spans="1:9" ht="15.45" x14ac:dyDescent="0.35">
      <c r="A24" s="82">
        <v>8</v>
      </c>
      <c r="B24" s="83" t="s">
        <v>56</v>
      </c>
      <c r="C24" s="84">
        <v>45576</v>
      </c>
      <c r="D24" s="85"/>
      <c r="E24" s="136" t="s">
        <v>7</v>
      </c>
      <c r="F24" s="85">
        <v>1</v>
      </c>
      <c r="G24" s="86">
        <v>65</v>
      </c>
      <c r="H24" s="86"/>
      <c r="I24" s="87">
        <f>G24*F24</f>
        <v>65</v>
      </c>
    </row>
    <row r="25" spans="1:9" ht="15.45" x14ac:dyDescent="0.35">
      <c r="A25" s="82">
        <v>9</v>
      </c>
      <c r="B25" s="83" t="s">
        <v>38</v>
      </c>
      <c r="C25" s="84">
        <v>44610</v>
      </c>
      <c r="D25" s="85"/>
      <c r="E25" s="136" t="s">
        <v>7</v>
      </c>
      <c r="F25" s="85"/>
      <c r="G25" s="86">
        <v>65</v>
      </c>
      <c r="H25" s="86"/>
      <c r="I25" s="87">
        <f>G25*F25</f>
        <v>0</v>
      </c>
    </row>
    <row r="26" spans="1:9" ht="15.45" x14ac:dyDescent="0.35">
      <c r="A26" s="82">
        <v>10</v>
      </c>
      <c r="B26" s="83" t="s">
        <v>70</v>
      </c>
      <c r="C26" s="84">
        <v>45674</v>
      </c>
      <c r="D26" s="85"/>
      <c r="E26" s="136" t="s">
        <v>7</v>
      </c>
      <c r="F26" s="85"/>
      <c r="G26" s="86">
        <v>65</v>
      </c>
      <c r="H26" s="86"/>
      <c r="I26" s="87">
        <f t="shared" si="0"/>
        <v>0</v>
      </c>
    </row>
    <row r="27" spans="1:9" ht="15.45" x14ac:dyDescent="0.35">
      <c r="A27" s="82">
        <v>11</v>
      </c>
      <c r="B27" s="83" t="s">
        <v>132</v>
      </c>
      <c r="C27" s="84"/>
      <c r="D27" s="85"/>
      <c r="E27" s="136" t="s">
        <v>7</v>
      </c>
      <c r="F27" s="85"/>
      <c r="G27" s="86">
        <v>65</v>
      </c>
      <c r="H27" s="86"/>
      <c r="I27" s="87">
        <f t="shared" si="0"/>
        <v>0</v>
      </c>
    </row>
    <row r="28" spans="1:9" ht="15.45" x14ac:dyDescent="0.35">
      <c r="A28" s="82">
        <v>12</v>
      </c>
      <c r="B28" s="83" t="s">
        <v>53</v>
      </c>
      <c r="C28" s="84">
        <v>45408</v>
      </c>
      <c r="D28" s="85"/>
      <c r="E28" s="136" t="s">
        <v>7</v>
      </c>
      <c r="F28" s="85"/>
      <c r="G28" s="86">
        <v>65</v>
      </c>
      <c r="H28" s="86"/>
      <c r="I28" s="87">
        <f t="shared" ref="I28:I30" si="1">G28*F28</f>
        <v>0</v>
      </c>
    </row>
    <row r="29" spans="1:9" ht="15.45" x14ac:dyDescent="0.35">
      <c r="A29" s="82">
        <v>13</v>
      </c>
      <c r="B29" s="83" t="s">
        <v>72</v>
      </c>
      <c r="C29" s="84">
        <v>45688</v>
      </c>
      <c r="D29" s="85"/>
      <c r="E29" s="136" t="s">
        <v>7</v>
      </c>
      <c r="F29" s="85"/>
      <c r="G29" s="86">
        <v>65</v>
      </c>
      <c r="H29" s="86"/>
      <c r="I29" s="87">
        <f t="shared" si="1"/>
        <v>0</v>
      </c>
    </row>
    <row r="30" spans="1:9" ht="15.45" x14ac:dyDescent="0.35">
      <c r="A30" s="82">
        <v>14</v>
      </c>
      <c r="B30" s="83" t="s">
        <v>73</v>
      </c>
      <c r="C30" s="84">
        <v>45716</v>
      </c>
      <c r="D30" s="85"/>
      <c r="E30" s="136" t="s">
        <v>7</v>
      </c>
      <c r="F30" s="85"/>
      <c r="G30" s="86">
        <v>65</v>
      </c>
      <c r="H30" s="86"/>
      <c r="I30" s="87">
        <f t="shared" si="1"/>
        <v>0</v>
      </c>
    </row>
    <row r="31" spans="1:9" ht="15.45" x14ac:dyDescent="0.35">
      <c r="A31" s="82"/>
      <c r="B31" s="77" t="s">
        <v>11</v>
      </c>
      <c r="C31" s="78"/>
      <c r="D31" s="78"/>
      <c r="E31" s="135"/>
      <c r="F31" s="78"/>
      <c r="G31" s="79"/>
      <c r="H31" s="80"/>
      <c r="I31" s="81"/>
    </row>
    <row r="32" spans="1:9" ht="15.45" x14ac:dyDescent="0.35">
      <c r="A32" s="82">
        <v>1</v>
      </c>
      <c r="B32" s="63" t="s">
        <v>114</v>
      </c>
      <c r="C32" s="75">
        <v>46038</v>
      </c>
      <c r="D32" s="72"/>
      <c r="E32" s="134" t="s">
        <v>12</v>
      </c>
      <c r="F32" s="72"/>
      <c r="G32" s="88">
        <v>200</v>
      </c>
      <c r="H32" s="88"/>
      <c r="I32" s="89">
        <f>G32*F32</f>
        <v>0</v>
      </c>
    </row>
    <row r="33" spans="1:14" s="91" customFormat="1" ht="15.45" x14ac:dyDescent="0.35">
      <c r="A33" s="82">
        <v>2</v>
      </c>
      <c r="B33" s="83" t="s">
        <v>136</v>
      </c>
      <c r="C33" s="84">
        <v>46137</v>
      </c>
      <c r="D33" s="85"/>
      <c r="E33" s="136" t="s">
        <v>12</v>
      </c>
      <c r="F33" s="85"/>
      <c r="G33" s="86">
        <v>200</v>
      </c>
      <c r="H33" s="86"/>
      <c r="I33" s="87">
        <f>G33*F33</f>
        <v>0</v>
      </c>
      <c r="J33" s="90"/>
      <c r="K33" s="90"/>
      <c r="L33" s="90"/>
      <c r="M33" s="90"/>
      <c r="N33" s="90"/>
    </row>
    <row r="34" spans="1:14" x14ac:dyDescent="0.3">
      <c r="A34" s="82">
        <v>3</v>
      </c>
      <c r="B34" s="83" t="s">
        <v>52</v>
      </c>
      <c r="C34" s="84">
        <v>45407</v>
      </c>
      <c r="D34" s="85"/>
      <c r="E34" s="136" t="s">
        <v>12</v>
      </c>
      <c r="F34" s="85"/>
      <c r="G34" s="86">
        <v>200</v>
      </c>
      <c r="H34" s="86"/>
      <c r="I34" s="87">
        <f>F34*G34</f>
        <v>0</v>
      </c>
    </row>
    <row r="35" spans="1:14" ht="14.25" customHeight="1" x14ac:dyDescent="0.35">
      <c r="A35" s="82">
        <v>4</v>
      </c>
      <c r="B35" s="83" t="s">
        <v>93</v>
      </c>
      <c r="C35" s="84">
        <v>45898</v>
      </c>
      <c r="D35" s="85"/>
      <c r="E35" s="136" t="s">
        <v>12</v>
      </c>
      <c r="F35" s="85">
        <v>2</v>
      </c>
      <c r="G35" s="86">
        <v>200</v>
      </c>
      <c r="H35" s="86"/>
      <c r="I35" s="87">
        <f>G35*F35</f>
        <v>400</v>
      </c>
    </row>
    <row r="36" spans="1:14" x14ac:dyDescent="0.3">
      <c r="A36" s="82">
        <v>5</v>
      </c>
      <c r="B36" s="83" t="s">
        <v>122</v>
      </c>
      <c r="C36" s="84">
        <v>46080</v>
      </c>
      <c r="D36" s="85"/>
      <c r="E36" s="136" t="s">
        <v>12</v>
      </c>
      <c r="F36" s="85"/>
      <c r="G36" s="86">
        <v>200</v>
      </c>
      <c r="H36" s="86"/>
      <c r="I36" s="87">
        <f t="shared" ref="I36:I44" si="2">G36*F36</f>
        <v>0</v>
      </c>
    </row>
    <row r="37" spans="1:14" ht="15.45" x14ac:dyDescent="0.35">
      <c r="A37" s="82">
        <v>6</v>
      </c>
      <c r="B37" s="83" t="s">
        <v>123</v>
      </c>
      <c r="C37" s="84">
        <v>46080</v>
      </c>
      <c r="D37" s="85"/>
      <c r="E37" s="136" t="s">
        <v>12</v>
      </c>
      <c r="F37" s="85"/>
      <c r="G37" s="86">
        <v>200</v>
      </c>
      <c r="H37" s="86"/>
      <c r="I37" s="87">
        <f>G37*F37</f>
        <v>0</v>
      </c>
    </row>
    <row r="38" spans="1:14" ht="14.25" customHeight="1" x14ac:dyDescent="0.35">
      <c r="A38" s="82">
        <v>7</v>
      </c>
      <c r="B38" s="83" t="s">
        <v>85</v>
      </c>
      <c r="C38" s="84" t="s">
        <v>86</v>
      </c>
      <c r="D38" s="85"/>
      <c r="E38" s="136" t="s">
        <v>12</v>
      </c>
      <c r="F38" s="85">
        <v>1</v>
      </c>
      <c r="G38" s="86">
        <v>200</v>
      </c>
      <c r="H38" s="86"/>
      <c r="I38" s="87">
        <f>G38*F38</f>
        <v>200</v>
      </c>
    </row>
    <row r="39" spans="1:14" ht="14.25" customHeight="1" x14ac:dyDescent="0.35">
      <c r="A39" s="82">
        <v>8</v>
      </c>
      <c r="B39" s="83" t="s">
        <v>71</v>
      </c>
      <c r="C39" s="84">
        <v>45589</v>
      </c>
      <c r="D39" s="85"/>
      <c r="E39" s="136" t="s">
        <v>12</v>
      </c>
      <c r="F39" s="85">
        <v>2</v>
      </c>
      <c r="G39" s="86">
        <v>200</v>
      </c>
      <c r="H39" s="86"/>
      <c r="I39" s="87">
        <f>G39*F39</f>
        <v>400</v>
      </c>
    </row>
    <row r="40" spans="1:14" ht="14.25" customHeight="1" x14ac:dyDescent="0.35">
      <c r="A40" s="82">
        <v>9</v>
      </c>
      <c r="B40" s="83" t="s">
        <v>126</v>
      </c>
      <c r="C40" s="84">
        <v>46094</v>
      </c>
      <c r="D40" s="85"/>
      <c r="E40" s="136" t="s">
        <v>12</v>
      </c>
      <c r="F40" s="85">
        <v>2</v>
      </c>
      <c r="G40" s="86">
        <v>200</v>
      </c>
      <c r="H40" s="86"/>
      <c r="I40" s="87">
        <f t="shared" si="2"/>
        <v>400</v>
      </c>
    </row>
    <row r="41" spans="1:14" ht="14.25" customHeight="1" x14ac:dyDescent="0.3">
      <c r="A41" s="82">
        <v>10</v>
      </c>
      <c r="B41" s="83" t="s">
        <v>90</v>
      </c>
      <c r="C41" s="84">
        <v>45877</v>
      </c>
      <c r="D41" s="85"/>
      <c r="E41" s="136" t="s">
        <v>12</v>
      </c>
      <c r="F41" s="85"/>
      <c r="G41" s="86">
        <v>200</v>
      </c>
      <c r="H41" s="86"/>
      <c r="I41" s="87">
        <f t="shared" si="2"/>
        <v>0</v>
      </c>
    </row>
    <row r="42" spans="1:14" ht="14.25" customHeight="1" x14ac:dyDescent="0.3">
      <c r="A42" s="82">
        <v>11</v>
      </c>
      <c r="B42" s="83" t="s">
        <v>67</v>
      </c>
      <c r="C42" s="84" t="s">
        <v>68</v>
      </c>
      <c r="D42" s="85"/>
      <c r="E42" s="136" t="s">
        <v>12</v>
      </c>
      <c r="F42" s="85"/>
      <c r="G42" s="86">
        <v>200</v>
      </c>
      <c r="H42" s="86"/>
      <c r="I42" s="87">
        <f>G42*F42</f>
        <v>0</v>
      </c>
    </row>
    <row r="43" spans="1:14" ht="14.25" customHeight="1" x14ac:dyDescent="0.3">
      <c r="A43" s="82">
        <v>12</v>
      </c>
      <c r="B43" s="83" t="s">
        <v>96</v>
      </c>
      <c r="C43" s="84">
        <v>45905</v>
      </c>
      <c r="D43" s="85"/>
      <c r="E43" s="136" t="s">
        <v>12</v>
      </c>
      <c r="F43" s="85"/>
      <c r="G43" s="86">
        <v>200</v>
      </c>
      <c r="H43" s="86"/>
      <c r="I43" s="87">
        <f>G43*F43</f>
        <v>0</v>
      </c>
    </row>
    <row r="44" spans="1:14" ht="14.25" customHeight="1" x14ac:dyDescent="0.35">
      <c r="A44" s="82">
        <v>13</v>
      </c>
      <c r="B44" s="83" t="s">
        <v>66</v>
      </c>
      <c r="C44" s="84">
        <v>45640</v>
      </c>
      <c r="D44" s="85"/>
      <c r="E44" s="136" t="s">
        <v>12</v>
      </c>
      <c r="F44" s="85">
        <v>2</v>
      </c>
      <c r="G44" s="86">
        <v>200</v>
      </c>
      <c r="H44" s="86"/>
      <c r="I44" s="87">
        <f t="shared" si="2"/>
        <v>400</v>
      </c>
    </row>
    <row r="45" spans="1:14" ht="14.25" customHeight="1" x14ac:dyDescent="0.3">
      <c r="A45" s="82">
        <v>14</v>
      </c>
      <c r="B45" s="83" t="s">
        <v>91</v>
      </c>
      <c r="C45" s="84">
        <v>45877</v>
      </c>
      <c r="D45" s="85"/>
      <c r="E45" s="136" t="s">
        <v>12</v>
      </c>
      <c r="F45" s="85"/>
      <c r="G45" s="86">
        <v>200</v>
      </c>
      <c r="H45" s="86"/>
      <c r="I45" s="87">
        <f t="shared" ref="I45:I52" si="3">G45*F45</f>
        <v>0</v>
      </c>
    </row>
    <row r="46" spans="1:14" ht="14.25" customHeight="1" x14ac:dyDescent="0.35">
      <c r="A46" s="82">
        <v>15</v>
      </c>
      <c r="B46" s="83" t="s">
        <v>63</v>
      </c>
      <c r="C46" s="84">
        <v>45563</v>
      </c>
      <c r="D46" s="85"/>
      <c r="E46" s="136" t="s">
        <v>12</v>
      </c>
      <c r="F46" s="85"/>
      <c r="G46" s="86">
        <v>200</v>
      </c>
      <c r="H46" s="86"/>
      <c r="I46" s="87">
        <f t="shared" si="3"/>
        <v>0</v>
      </c>
    </row>
    <row r="47" spans="1:14" ht="14.25" customHeight="1" x14ac:dyDescent="0.35">
      <c r="A47" s="82">
        <v>16</v>
      </c>
      <c r="B47" s="83" t="s">
        <v>141</v>
      </c>
      <c r="C47" s="84">
        <v>46157</v>
      </c>
      <c r="D47" s="85"/>
      <c r="E47" s="136" t="s">
        <v>12</v>
      </c>
      <c r="F47" s="85"/>
      <c r="G47" s="86">
        <v>200</v>
      </c>
      <c r="H47" s="86"/>
      <c r="I47" s="87">
        <f t="shared" si="3"/>
        <v>0</v>
      </c>
    </row>
    <row r="48" spans="1:14" ht="14.25" customHeight="1" x14ac:dyDescent="0.35">
      <c r="A48" s="82">
        <v>17</v>
      </c>
      <c r="B48" s="83" t="s">
        <v>115</v>
      </c>
      <c r="C48" s="84">
        <v>46038</v>
      </c>
      <c r="D48" s="85"/>
      <c r="E48" s="136" t="s">
        <v>12</v>
      </c>
      <c r="F48" s="85"/>
      <c r="G48" s="86">
        <v>200</v>
      </c>
      <c r="H48" s="86"/>
      <c r="I48" s="87">
        <f t="shared" si="3"/>
        <v>0</v>
      </c>
    </row>
    <row r="49" spans="1:11" ht="14.25" customHeight="1" x14ac:dyDescent="0.3">
      <c r="A49" s="82">
        <v>18</v>
      </c>
      <c r="B49" s="83" t="s">
        <v>99</v>
      </c>
      <c r="C49" s="84">
        <v>45948</v>
      </c>
      <c r="D49" s="85"/>
      <c r="E49" s="136" t="s">
        <v>12</v>
      </c>
      <c r="F49" s="85"/>
      <c r="G49" s="86">
        <v>200</v>
      </c>
      <c r="H49" s="86"/>
      <c r="I49" s="87">
        <f t="shared" si="3"/>
        <v>0</v>
      </c>
    </row>
    <row r="50" spans="1:11" ht="14.25" customHeight="1" x14ac:dyDescent="0.3">
      <c r="A50" s="82">
        <v>19</v>
      </c>
      <c r="B50" s="83" t="s">
        <v>97</v>
      </c>
      <c r="C50" s="84">
        <v>45933</v>
      </c>
      <c r="D50" s="85"/>
      <c r="E50" s="136" t="s">
        <v>12</v>
      </c>
      <c r="F50" s="85"/>
      <c r="G50" s="86">
        <v>200</v>
      </c>
      <c r="H50" s="86"/>
      <c r="I50" s="87">
        <f t="shared" si="3"/>
        <v>0</v>
      </c>
    </row>
    <row r="51" spans="1:11" ht="14.25" customHeight="1" x14ac:dyDescent="0.3">
      <c r="A51" s="82">
        <v>20</v>
      </c>
      <c r="B51" s="83" t="s">
        <v>69</v>
      </c>
      <c r="C51" s="84">
        <v>45884</v>
      </c>
      <c r="D51" s="85"/>
      <c r="E51" s="136" t="s">
        <v>12</v>
      </c>
      <c r="F51" s="85"/>
      <c r="G51" s="86">
        <v>200</v>
      </c>
      <c r="H51" s="86"/>
      <c r="I51" s="87">
        <f t="shared" si="3"/>
        <v>0</v>
      </c>
    </row>
    <row r="52" spans="1:11" ht="14.25" customHeight="1" x14ac:dyDescent="0.35">
      <c r="A52" s="82">
        <v>21</v>
      </c>
      <c r="B52" s="83" t="s">
        <v>104</v>
      </c>
      <c r="C52" s="84">
        <v>45996</v>
      </c>
      <c r="D52" s="85"/>
      <c r="E52" s="136" t="s">
        <v>12</v>
      </c>
      <c r="F52" s="85"/>
      <c r="G52" s="86">
        <v>200</v>
      </c>
      <c r="H52" s="86"/>
      <c r="I52" s="87">
        <f t="shared" si="3"/>
        <v>0</v>
      </c>
    </row>
    <row r="53" spans="1:11" ht="14.25" customHeight="1" x14ac:dyDescent="0.35">
      <c r="A53" s="82">
        <v>22</v>
      </c>
      <c r="B53" s="83" t="s">
        <v>129</v>
      </c>
      <c r="C53" s="84"/>
      <c r="D53" s="85"/>
      <c r="E53" s="136" t="s">
        <v>12</v>
      </c>
      <c r="F53" s="85"/>
      <c r="G53" s="86">
        <v>200</v>
      </c>
      <c r="H53" s="86"/>
      <c r="I53" s="87">
        <f t="shared" ref="I53" si="4">G53*F53</f>
        <v>0</v>
      </c>
    </row>
    <row r="54" spans="1:11" ht="14.25" customHeight="1" x14ac:dyDescent="0.35">
      <c r="A54" s="82">
        <v>23</v>
      </c>
      <c r="B54" s="83" t="s">
        <v>138</v>
      </c>
      <c r="C54" s="84">
        <v>46143</v>
      </c>
      <c r="D54" s="85"/>
      <c r="E54" s="136" t="s">
        <v>12</v>
      </c>
      <c r="F54" s="85"/>
      <c r="G54" s="86">
        <v>200</v>
      </c>
      <c r="H54" s="86"/>
      <c r="I54" s="87">
        <f t="shared" ref="I54" si="5">G54*F54</f>
        <v>0</v>
      </c>
    </row>
    <row r="55" spans="1:11" ht="14.25" customHeight="1" x14ac:dyDescent="0.35">
      <c r="A55" s="82"/>
      <c r="B55" s="77" t="s">
        <v>6</v>
      </c>
      <c r="C55" s="78"/>
      <c r="D55" s="78"/>
      <c r="E55" s="135"/>
      <c r="F55" s="78"/>
      <c r="G55" s="79"/>
      <c r="H55" s="80"/>
      <c r="I55" s="81"/>
    </row>
    <row r="56" spans="1:11" ht="14.25" customHeight="1" x14ac:dyDescent="0.3">
      <c r="A56" s="82"/>
      <c r="B56" s="92" t="s">
        <v>57</v>
      </c>
      <c r="C56" s="93">
        <v>45528</v>
      </c>
      <c r="D56" s="94"/>
      <c r="E56" s="137" t="s">
        <v>6</v>
      </c>
      <c r="F56" s="94">
        <v>1</v>
      </c>
      <c r="G56" s="95">
        <v>250</v>
      </c>
      <c r="H56" s="95"/>
      <c r="I56" s="96">
        <f>G56*F56</f>
        <v>250</v>
      </c>
    </row>
    <row r="57" spans="1:11" ht="15.45" x14ac:dyDescent="0.35">
      <c r="A57" s="82">
        <v>1</v>
      </c>
      <c r="B57" s="83" t="s">
        <v>37</v>
      </c>
      <c r="C57" s="84">
        <v>44589</v>
      </c>
      <c r="D57" s="85"/>
      <c r="E57" s="136" t="s">
        <v>6</v>
      </c>
      <c r="F57" s="85">
        <v>2</v>
      </c>
      <c r="G57" s="86">
        <v>250</v>
      </c>
      <c r="H57" s="86"/>
      <c r="I57" s="87">
        <f>F57*G57</f>
        <v>500</v>
      </c>
    </row>
    <row r="58" spans="1:11" ht="15.45" x14ac:dyDescent="0.35">
      <c r="A58" s="82">
        <v>2</v>
      </c>
      <c r="B58" s="92" t="s">
        <v>33</v>
      </c>
      <c r="C58" s="93">
        <v>43160</v>
      </c>
      <c r="D58" s="94"/>
      <c r="E58" s="137" t="s">
        <v>6</v>
      </c>
      <c r="F58" s="94">
        <v>2</v>
      </c>
      <c r="G58" s="95">
        <v>250</v>
      </c>
      <c r="H58" s="95"/>
      <c r="I58" s="96">
        <f>F58*G58</f>
        <v>500</v>
      </c>
    </row>
    <row r="59" spans="1:11" ht="15.45" x14ac:dyDescent="0.35">
      <c r="A59" s="82">
        <v>3</v>
      </c>
      <c r="B59" s="92" t="s">
        <v>34</v>
      </c>
      <c r="C59" s="93">
        <v>44344</v>
      </c>
      <c r="D59" s="94"/>
      <c r="E59" s="137" t="s">
        <v>29</v>
      </c>
      <c r="F59" s="94">
        <v>2</v>
      </c>
      <c r="G59" s="95">
        <v>750</v>
      </c>
      <c r="H59" s="95"/>
      <c r="I59" s="96">
        <f>F59*G59</f>
        <v>1500</v>
      </c>
    </row>
    <row r="60" spans="1:11" ht="15.45" x14ac:dyDescent="0.35">
      <c r="A60" s="82">
        <v>4</v>
      </c>
      <c r="B60" s="92" t="s">
        <v>124</v>
      </c>
      <c r="C60" s="93">
        <v>46080</v>
      </c>
      <c r="D60" s="94"/>
      <c r="E60" s="137" t="s">
        <v>36</v>
      </c>
      <c r="F60" s="94">
        <v>1</v>
      </c>
      <c r="G60" s="95">
        <v>750</v>
      </c>
      <c r="H60" s="95"/>
      <c r="I60" s="96">
        <f>F60*G60</f>
        <v>750</v>
      </c>
    </row>
    <row r="61" spans="1:11" ht="15.45" x14ac:dyDescent="0.35">
      <c r="A61" s="82"/>
      <c r="B61" s="77" t="s">
        <v>13</v>
      </c>
      <c r="C61" s="97"/>
      <c r="D61" s="78"/>
      <c r="E61" s="135"/>
      <c r="F61" s="78"/>
      <c r="G61" s="79"/>
      <c r="H61" s="80"/>
      <c r="I61" s="81"/>
    </row>
    <row r="62" spans="1:11" ht="15.45" x14ac:dyDescent="0.35">
      <c r="A62" s="82"/>
      <c r="B62" s="92" t="s">
        <v>32</v>
      </c>
      <c r="C62" s="93">
        <v>44533</v>
      </c>
      <c r="D62" s="94"/>
      <c r="E62" s="137" t="s">
        <v>84</v>
      </c>
      <c r="F62" s="94">
        <v>1</v>
      </c>
      <c r="G62" s="95">
        <v>3500</v>
      </c>
      <c r="H62" s="95"/>
      <c r="I62" s="96">
        <f>G62*F62</f>
        <v>3500</v>
      </c>
      <c r="K62" s="98"/>
    </row>
    <row r="63" spans="1:11" x14ac:dyDescent="0.3">
      <c r="A63" s="82">
        <v>1</v>
      </c>
      <c r="B63" s="92" t="s">
        <v>51</v>
      </c>
      <c r="C63" s="93">
        <v>45332</v>
      </c>
      <c r="D63" s="94"/>
      <c r="E63" s="137" t="s">
        <v>23</v>
      </c>
      <c r="F63" s="94">
        <v>2</v>
      </c>
      <c r="G63" s="95">
        <v>600</v>
      </c>
      <c r="H63" s="95"/>
      <c r="I63" s="96">
        <f>G63*F63</f>
        <v>1200</v>
      </c>
      <c r="K63" s="98"/>
    </row>
    <row r="64" spans="1:11" ht="15.45" x14ac:dyDescent="0.35">
      <c r="A64" s="82">
        <v>2</v>
      </c>
      <c r="B64" s="99" t="s">
        <v>47</v>
      </c>
      <c r="C64" s="100">
        <v>45171</v>
      </c>
      <c r="D64" s="101"/>
      <c r="E64" s="138" t="s">
        <v>23</v>
      </c>
      <c r="F64" s="101">
        <v>2</v>
      </c>
      <c r="G64" s="102">
        <v>600</v>
      </c>
      <c r="H64" s="95"/>
      <c r="I64" s="96">
        <f>G64*F64</f>
        <v>1200</v>
      </c>
      <c r="K64" s="98"/>
    </row>
    <row r="65" spans="1:14" ht="15.75" customHeight="1" x14ac:dyDescent="0.3">
      <c r="A65" s="82">
        <v>3</v>
      </c>
      <c r="B65" s="92" t="s">
        <v>87</v>
      </c>
      <c r="C65" s="93">
        <v>45800</v>
      </c>
      <c r="D65" s="103"/>
      <c r="E65" s="137" t="s">
        <v>23</v>
      </c>
      <c r="F65" s="94">
        <v>2</v>
      </c>
      <c r="G65" s="95">
        <v>1200</v>
      </c>
      <c r="H65" s="95"/>
      <c r="I65" s="96">
        <f t="shared" ref="I65:I68" si="6">F65*G65</f>
        <v>2400</v>
      </c>
    </row>
    <row r="66" spans="1:14" ht="15.75" customHeight="1" x14ac:dyDescent="0.35">
      <c r="A66" s="82">
        <v>4</v>
      </c>
      <c r="B66" s="99" t="s">
        <v>31</v>
      </c>
      <c r="C66" s="100">
        <v>44331</v>
      </c>
      <c r="D66" s="104"/>
      <c r="E66" s="138" t="s">
        <v>23</v>
      </c>
      <c r="F66" s="101"/>
      <c r="G66" s="95">
        <v>600</v>
      </c>
      <c r="H66" s="95"/>
      <c r="I66" s="96">
        <f t="shared" si="6"/>
        <v>0</v>
      </c>
    </row>
    <row r="67" spans="1:14" ht="15.75" customHeight="1" x14ac:dyDescent="0.3">
      <c r="A67" s="82">
        <v>5</v>
      </c>
      <c r="B67" s="99" t="s">
        <v>89</v>
      </c>
      <c r="C67" s="100"/>
      <c r="D67" s="104"/>
      <c r="E67" s="138" t="s">
        <v>23</v>
      </c>
      <c r="F67" s="101">
        <v>2</v>
      </c>
      <c r="G67" s="95">
        <v>600</v>
      </c>
      <c r="H67" s="95"/>
      <c r="I67" s="96">
        <f t="shared" si="6"/>
        <v>1200</v>
      </c>
      <c r="J67" s="82"/>
      <c r="L67" s="105"/>
    </row>
    <row r="68" spans="1:14" ht="15.75" customHeight="1" x14ac:dyDescent="0.35">
      <c r="A68" s="82">
        <v>6</v>
      </c>
      <c r="B68" s="99" t="s">
        <v>134</v>
      </c>
      <c r="C68" s="100">
        <v>46122</v>
      </c>
      <c r="D68" s="104"/>
      <c r="E68" s="138" t="s">
        <v>23</v>
      </c>
      <c r="F68" s="101">
        <v>1</v>
      </c>
      <c r="G68" s="95">
        <v>600</v>
      </c>
      <c r="H68" s="95"/>
      <c r="I68" s="96">
        <f t="shared" si="6"/>
        <v>600</v>
      </c>
      <c r="J68" s="82"/>
      <c r="L68" s="105"/>
    </row>
    <row r="69" spans="1:14" ht="15.75" customHeight="1" x14ac:dyDescent="0.35">
      <c r="A69" s="82">
        <v>7</v>
      </c>
      <c r="B69" s="99" t="s">
        <v>139</v>
      </c>
      <c r="C69" s="100">
        <v>46143</v>
      </c>
      <c r="D69" s="104"/>
      <c r="E69" s="138" t="s">
        <v>23</v>
      </c>
      <c r="F69" s="101">
        <v>2</v>
      </c>
      <c r="G69" s="95">
        <v>600</v>
      </c>
      <c r="H69" s="95"/>
      <c r="I69" s="96">
        <f t="shared" ref="I69:I70" si="7">F69*G69</f>
        <v>1200</v>
      </c>
      <c r="J69" s="82"/>
      <c r="L69" s="105"/>
    </row>
    <row r="70" spans="1:14" ht="15.45" x14ac:dyDescent="0.35">
      <c r="A70" s="82">
        <v>8</v>
      </c>
      <c r="B70" s="99" t="s">
        <v>145</v>
      </c>
      <c r="C70" s="100">
        <v>46171</v>
      </c>
      <c r="D70" s="101"/>
      <c r="E70" s="138" t="s">
        <v>23</v>
      </c>
      <c r="F70" s="101">
        <v>2</v>
      </c>
      <c r="G70" s="95">
        <v>600</v>
      </c>
      <c r="H70" s="95"/>
      <c r="I70" s="96">
        <f t="shared" si="7"/>
        <v>1200</v>
      </c>
      <c r="K70" s="98"/>
    </row>
    <row r="71" spans="1:14" ht="15.45" x14ac:dyDescent="0.35">
      <c r="A71" s="82">
        <v>9</v>
      </c>
      <c r="B71" s="99" t="s">
        <v>146</v>
      </c>
      <c r="C71" s="100">
        <v>46171</v>
      </c>
      <c r="D71" s="104"/>
      <c r="E71" s="138" t="s">
        <v>23</v>
      </c>
      <c r="F71" s="101">
        <v>1</v>
      </c>
      <c r="G71" s="95">
        <v>600</v>
      </c>
      <c r="H71" s="95"/>
      <c r="I71" s="96">
        <f t="shared" ref="I71:I76" si="8">F71*G71</f>
        <v>600</v>
      </c>
      <c r="K71" s="98"/>
    </row>
    <row r="72" spans="1:14" ht="15.75" customHeight="1" x14ac:dyDescent="0.35">
      <c r="A72" s="82">
        <v>10</v>
      </c>
      <c r="B72" s="92" t="s">
        <v>147</v>
      </c>
      <c r="C72" s="93">
        <v>46178</v>
      </c>
      <c r="D72" s="103"/>
      <c r="E72" s="137" t="s">
        <v>23</v>
      </c>
      <c r="F72" s="94"/>
      <c r="G72" s="95">
        <v>600</v>
      </c>
      <c r="H72" s="95"/>
      <c r="I72" s="96">
        <f t="shared" si="8"/>
        <v>0</v>
      </c>
      <c r="J72" s="82"/>
      <c r="L72" s="105"/>
    </row>
    <row r="73" spans="1:14" ht="15.75" customHeight="1" x14ac:dyDescent="0.35">
      <c r="A73" s="82">
        <v>11</v>
      </c>
      <c r="B73" s="99" t="s">
        <v>148</v>
      </c>
      <c r="C73" s="100">
        <v>46178</v>
      </c>
      <c r="D73" s="104"/>
      <c r="E73" s="138" t="s">
        <v>23</v>
      </c>
      <c r="F73" s="101">
        <v>2</v>
      </c>
      <c r="G73" s="95">
        <v>600</v>
      </c>
      <c r="H73" s="95"/>
      <c r="I73" s="96">
        <f t="shared" si="8"/>
        <v>1200</v>
      </c>
      <c r="J73" s="82"/>
      <c r="L73" s="105"/>
    </row>
    <row r="74" spans="1:14" x14ac:dyDescent="0.3">
      <c r="A74" s="82">
        <v>12</v>
      </c>
      <c r="B74" s="99" t="s">
        <v>54</v>
      </c>
      <c r="C74" s="100">
        <v>45417</v>
      </c>
      <c r="D74" s="104"/>
      <c r="E74" s="138" t="s">
        <v>23</v>
      </c>
      <c r="F74" s="101">
        <v>2</v>
      </c>
      <c r="G74" s="95">
        <v>600</v>
      </c>
      <c r="H74" s="95"/>
      <c r="I74" s="96">
        <f t="shared" si="8"/>
        <v>1200</v>
      </c>
    </row>
    <row r="75" spans="1:14" x14ac:dyDescent="0.3">
      <c r="A75" s="82">
        <v>13</v>
      </c>
      <c r="B75" s="99" t="s">
        <v>64</v>
      </c>
      <c r="C75" s="100">
        <v>46157</v>
      </c>
      <c r="D75" s="101"/>
      <c r="E75" s="138" t="s">
        <v>23</v>
      </c>
      <c r="F75" s="101">
        <v>1</v>
      </c>
      <c r="G75" s="95">
        <v>600</v>
      </c>
      <c r="H75" s="95"/>
      <c r="I75" s="96">
        <f t="shared" si="8"/>
        <v>600</v>
      </c>
    </row>
    <row r="76" spans="1:14" ht="15.45" x14ac:dyDescent="0.35">
      <c r="A76" s="82">
        <v>14</v>
      </c>
      <c r="B76" s="92" t="s">
        <v>158</v>
      </c>
      <c r="C76" s="93">
        <v>46192</v>
      </c>
      <c r="D76" s="94"/>
      <c r="E76" s="137" t="s">
        <v>23</v>
      </c>
      <c r="F76" s="94">
        <v>2</v>
      </c>
      <c r="G76" s="95">
        <v>600</v>
      </c>
      <c r="H76" s="95"/>
      <c r="I76" s="96">
        <f t="shared" si="8"/>
        <v>1200</v>
      </c>
    </row>
    <row r="77" spans="1:14" ht="15.75" customHeight="1" x14ac:dyDescent="0.35">
      <c r="A77" s="82">
        <v>15</v>
      </c>
      <c r="B77" s="92" t="s">
        <v>120</v>
      </c>
      <c r="C77" s="93">
        <v>46074</v>
      </c>
      <c r="D77" s="94"/>
      <c r="E77" s="137" t="s">
        <v>23</v>
      </c>
      <c r="F77" s="94"/>
      <c r="G77" s="95">
        <v>600</v>
      </c>
      <c r="H77" s="95"/>
      <c r="I77" s="96">
        <f>G77*F77</f>
        <v>0</v>
      </c>
      <c r="J77" s="82"/>
      <c r="K77" s="82"/>
    </row>
    <row r="78" spans="1:14" ht="15.45" x14ac:dyDescent="0.35">
      <c r="A78" s="82">
        <v>16</v>
      </c>
      <c r="B78" s="92" t="s">
        <v>98</v>
      </c>
      <c r="C78" s="93">
        <v>45934</v>
      </c>
      <c r="D78" s="94"/>
      <c r="E78" s="137" t="s">
        <v>23</v>
      </c>
      <c r="F78" s="94"/>
      <c r="G78" s="95">
        <v>600</v>
      </c>
      <c r="H78" s="95"/>
      <c r="I78" s="96">
        <f>G78*F78</f>
        <v>0</v>
      </c>
      <c r="K78" s="98"/>
    </row>
    <row r="79" spans="1:14" ht="15.75" customHeight="1" x14ac:dyDescent="0.35">
      <c r="A79" s="82">
        <v>17</v>
      </c>
      <c r="B79" s="106" t="s">
        <v>144</v>
      </c>
      <c r="C79" s="107">
        <v>46164</v>
      </c>
      <c r="D79" s="108"/>
      <c r="E79" s="139" t="s">
        <v>23</v>
      </c>
      <c r="F79" s="109"/>
      <c r="G79" s="86">
        <v>600</v>
      </c>
      <c r="H79" s="86"/>
      <c r="I79" s="87">
        <f>F79*G79</f>
        <v>0</v>
      </c>
    </row>
    <row r="80" spans="1:14" ht="15.75" customHeight="1" x14ac:dyDescent="0.3">
      <c r="A80" s="110">
        <v>18</v>
      </c>
      <c r="B80" s="111" t="s">
        <v>153</v>
      </c>
      <c r="C80" s="112"/>
      <c r="D80" s="113"/>
      <c r="E80" s="140" t="s">
        <v>23</v>
      </c>
      <c r="F80" s="113"/>
      <c r="G80" s="114">
        <v>600</v>
      </c>
      <c r="H80" s="114"/>
      <c r="I80" s="115">
        <f>F80*G80</f>
        <v>0</v>
      </c>
      <c r="J80" s="82"/>
      <c r="K80" s="82"/>
      <c r="L80" s="82"/>
      <c r="M80" s="82"/>
      <c r="N80" s="82"/>
    </row>
    <row r="81" spans="1:12" ht="15.75" customHeight="1" x14ac:dyDescent="0.35">
      <c r="A81" s="82">
        <v>19</v>
      </c>
      <c r="B81" s="106" t="s">
        <v>152</v>
      </c>
      <c r="C81" s="107"/>
      <c r="D81" s="108"/>
      <c r="E81" s="139" t="s">
        <v>119</v>
      </c>
      <c r="F81" s="109">
        <v>2</v>
      </c>
      <c r="G81" s="86">
        <v>600</v>
      </c>
      <c r="H81" s="86"/>
      <c r="I81" s="87">
        <f>F81*G81</f>
        <v>1200</v>
      </c>
      <c r="J81" s="82"/>
      <c r="K81" s="82"/>
    </row>
    <row r="82" spans="1:12" ht="15.75" customHeight="1" x14ac:dyDescent="0.35">
      <c r="A82" s="110">
        <v>20</v>
      </c>
      <c r="B82" s="111" t="s">
        <v>141</v>
      </c>
      <c r="C82" s="112"/>
      <c r="D82" s="113"/>
      <c r="E82" s="140" t="s">
        <v>23</v>
      </c>
      <c r="F82" s="113">
        <v>1</v>
      </c>
      <c r="G82" s="114">
        <v>600</v>
      </c>
      <c r="H82" s="114"/>
      <c r="I82" s="115">
        <f t="shared" ref="I82" si="9">F82*G82</f>
        <v>600</v>
      </c>
      <c r="J82" s="82"/>
      <c r="L82" s="105"/>
    </row>
    <row r="83" spans="1:12" ht="15.45" x14ac:dyDescent="0.35">
      <c r="A83" s="82">
        <v>21</v>
      </c>
      <c r="B83" s="83" t="s">
        <v>142</v>
      </c>
      <c r="C83" s="84">
        <v>46165</v>
      </c>
      <c r="D83" s="116"/>
      <c r="E83" s="136" t="s">
        <v>23</v>
      </c>
      <c r="F83" s="85"/>
      <c r="G83" s="86">
        <v>600</v>
      </c>
      <c r="H83" s="86"/>
      <c r="I83" s="87">
        <f t="shared" ref="I83:I84" si="10">F83*G83</f>
        <v>0</v>
      </c>
    </row>
    <row r="84" spans="1:12" ht="15.75" customHeight="1" x14ac:dyDescent="0.35">
      <c r="A84" s="82">
        <v>22</v>
      </c>
      <c r="B84" s="83" t="s">
        <v>143</v>
      </c>
      <c r="C84" s="84">
        <v>46164</v>
      </c>
      <c r="D84" s="116"/>
      <c r="E84" s="136" t="s">
        <v>23</v>
      </c>
      <c r="F84" s="85"/>
      <c r="G84" s="86">
        <v>600</v>
      </c>
      <c r="H84" s="86"/>
      <c r="I84" s="87">
        <f t="shared" si="10"/>
        <v>0</v>
      </c>
    </row>
    <row r="85" spans="1:12" ht="15.75" customHeight="1" x14ac:dyDescent="0.35">
      <c r="A85" s="82">
        <v>23</v>
      </c>
      <c r="B85" s="83" t="s">
        <v>135</v>
      </c>
      <c r="C85" s="84">
        <v>46129</v>
      </c>
      <c r="D85" s="116"/>
      <c r="E85" s="136" t="s">
        <v>23</v>
      </c>
      <c r="F85" s="85"/>
      <c r="G85" s="86">
        <v>600</v>
      </c>
      <c r="H85" s="86"/>
      <c r="I85" s="87">
        <f t="shared" ref="I85" si="11">F85*G85</f>
        <v>0</v>
      </c>
      <c r="J85" s="82"/>
      <c r="L85" s="105"/>
    </row>
    <row r="86" spans="1:12" ht="15.45" x14ac:dyDescent="0.35">
      <c r="A86" s="82">
        <v>24</v>
      </c>
      <c r="B86" s="83" t="s">
        <v>128</v>
      </c>
      <c r="C86" s="84">
        <v>46094</v>
      </c>
      <c r="D86" s="85"/>
      <c r="E86" s="136" t="s">
        <v>23</v>
      </c>
      <c r="F86" s="85"/>
      <c r="G86" s="86">
        <v>600</v>
      </c>
      <c r="H86" s="86"/>
      <c r="I86" s="87">
        <f t="shared" ref="I86" si="12">F86*G86</f>
        <v>0</v>
      </c>
      <c r="J86" s="82"/>
      <c r="K86" s="98"/>
    </row>
    <row r="87" spans="1:12" ht="15.75" customHeight="1" x14ac:dyDescent="0.35">
      <c r="A87" s="82">
        <v>25</v>
      </c>
      <c r="B87" s="83" t="s">
        <v>100</v>
      </c>
      <c r="C87" s="84">
        <v>45954</v>
      </c>
      <c r="D87" s="116"/>
      <c r="E87" s="136" t="s">
        <v>23</v>
      </c>
      <c r="F87" s="85"/>
      <c r="G87" s="86">
        <v>600</v>
      </c>
      <c r="H87" s="86"/>
      <c r="I87" s="87">
        <f t="shared" ref="I87:I88" si="13">F87*G87</f>
        <v>0</v>
      </c>
    </row>
    <row r="88" spans="1:12" ht="15.75" customHeight="1" x14ac:dyDescent="0.3">
      <c r="A88" s="82">
        <v>26</v>
      </c>
      <c r="B88" s="83" t="s">
        <v>88</v>
      </c>
      <c r="C88" s="84">
        <v>45843</v>
      </c>
      <c r="D88" s="116"/>
      <c r="E88" s="136" t="s">
        <v>23</v>
      </c>
      <c r="F88" s="85"/>
      <c r="G88" s="86">
        <v>600</v>
      </c>
      <c r="H88" s="86"/>
      <c r="I88" s="87">
        <f t="shared" si="13"/>
        <v>0</v>
      </c>
      <c r="K88" s="82"/>
    </row>
    <row r="89" spans="1:12" ht="15.75" customHeight="1" x14ac:dyDescent="0.35">
      <c r="A89" s="82"/>
      <c r="B89" s="77" t="s">
        <v>22</v>
      </c>
      <c r="C89" s="78"/>
      <c r="D89" s="78"/>
      <c r="E89" s="135"/>
      <c r="F89" s="78"/>
      <c r="G89" s="79"/>
      <c r="H89" s="80"/>
      <c r="I89" s="81"/>
      <c r="J89" s="82"/>
      <c r="K89" s="82"/>
    </row>
    <row r="90" spans="1:12" ht="15.45" x14ac:dyDescent="0.35">
      <c r="A90" s="82">
        <v>1</v>
      </c>
      <c r="B90" s="117" t="s">
        <v>103</v>
      </c>
      <c r="C90" s="93">
        <v>45982</v>
      </c>
      <c r="D90" s="103"/>
      <c r="E90" s="137" t="s">
        <v>22</v>
      </c>
      <c r="F90" s="94">
        <v>2</v>
      </c>
      <c r="G90" s="95">
        <v>2000</v>
      </c>
      <c r="H90" s="95"/>
      <c r="I90" s="96">
        <f>F90*G90</f>
        <v>4000</v>
      </c>
      <c r="J90" s="82"/>
    </row>
    <row r="91" spans="1:12" ht="15.45" x14ac:dyDescent="0.35">
      <c r="A91" s="82">
        <v>2</v>
      </c>
      <c r="B91" s="117" t="s">
        <v>109</v>
      </c>
      <c r="C91" s="93">
        <v>45961</v>
      </c>
      <c r="D91" s="103"/>
      <c r="E91" s="137" t="s">
        <v>22</v>
      </c>
      <c r="F91" s="94">
        <v>2</v>
      </c>
      <c r="G91" s="95">
        <v>1500</v>
      </c>
      <c r="H91" s="95"/>
      <c r="I91" s="96">
        <f>F91*G91</f>
        <v>3000</v>
      </c>
    </row>
    <row r="92" spans="1:12" ht="15.45" x14ac:dyDescent="0.35">
      <c r="A92" s="82">
        <v>3</v>
      </c>
      <c r="B92" s="117" t="s">
        <v>94</v>
      </c>
      <c r="C92" s="93">
        <v>45898</v>
      </c>
      <c r="D92" s="103"/>
      <c r="E92" s="137" t="s">
        <v>22</v>
      </c>
      <c r="F92" s="94"/>
      <c r="G92" s="95">
        <v>1500</v>
      </c>
      <c r="H92" s="95"/>
      <c r="I92" s="96">
        <f t="shared" ref="I92:I93" si="14">F92*G92</f>
        <v>0</v>
      </c>
    </row>
    <row r="93" spans="1:12" ht="15.45" x14ac:dyDescent="0.35">
      <c r="A93" s="82">
        <v>4</v>
      </c>
      <c r="B93" s="117" t="s">
        <v>121</v>
      </c>
      <c r="C93" s="93"/>
      <c r="D93" s="103"/>
      <c r="E93" s="137" t="s">
        <v>22</v>
      </c>
      <c r="F93" s="94"/>
      <c r="G93" s="95">
        <v>1500</v>
      </c>
      <c r="H93" s="95"/>
      <c r="I93" s="96">
        <f t="shared" si="14"/>
        <v>0</v>
      </c>
    </row>
    <row r="94" spans="1:12" s="118" customFormat="1" ht="15.45" x14ac:dyDescent="0.35">
      <c r="A94" s="118">
        <v>5</v>
      </c>
      <c r="B94" s="117" t="s">
        <v>108</v>
      </c>
      <c r="C94" s="93">
        <v>46010</v>
      </c>
      <c r="D94" s="103"/>
      <c r="E94" s="137" t="s">
        <v>22</v>
      </c>
      <c r="F94" s="94"/>
      <c r="G94" s="95">
        <v>1500</v>
      </c>
      <c r="H94" s="95"/>
      <c r="I94" s="96">
        <f>F94*G94</f>
        <v>0</v>
      </c>
    </row>
    <row r="95" spans="1:12" ht="15.45" x14ac:dyDescent="0.35">
      <c r="A95" s="82">
        <v>6</v>
      </c>
      <c r="B95" s="117" t="s">
        <v>101</v>
      </c>
      <c r="C95" s="93">
        <v>45960</v>
      </c>
      <c r="D95" s="103"/>
      <c r="E95" s="137" t="s">
        <v>22</v>
      </c>
      <c r="F95" s="94"/>
      <c r="G95" s="95">
        <v>1500</v>
      </c>
      <c r="H95" s="95"/>
      <c r="I95" s="96">
        <f>F95*G95</f>
        <v>0</v>
      </c>
    </row>
    <row r="96" spans="1:12" ht="15.45" x14ac:dyDescent="0.35">
      <c r="A96" s="82">
        <v>7</v>
      </c>
      <c r="B96" s="117" t="s">
        <v>110</v>
      </c>
      <c r="C96" s="93">
        <v>45990</v>
      </c>
      <c r="D96" s="103"/>
      <c r="E96" s="137" t="s">
        <v>22</v>
      </c>
      <c r="F96" s="94"/>
      <c r="G96" s="95">
        <v>1500</v>
      </c>
      <c r="H96" s="95"/>
      <c r="I96" s="96">
        <f t="shared" ref="I96" si="15">F96*G96</f>
        <v>0</v>
      </c>
    </row>
    <row r="97" spans="1:12" x14ac:dyDescent="0.3">
      <c r="A97" s="82">
        <v>8</v>
      </c>
      <c r="B97" s="117" t="s">
        <v>107</v>
      </c>
      <c r="C97" s="93">
        <v>46018</v>
      </c>
      <c r="D97" s="103"/>
      <c r="E97" s="137" t="s">
        <v>22</v>
      </c>
      <c r="F97" s="94">
        <v>2</v>
      </c>
      <c r="G97" s="95">
        <v>1500</v>
      </c>
      <c r="H97" s="95"/>
      <c r="I97" s="96">
        <f>F97*G97</f>
        <v>3000</v>
      </c>
    </row>
    <row r="98" spans="1:12" ht="15.45" x14ac:dyDescent="0.35">
      <c r="A98" s="82">
        <v>9</v>
      </c>
      <c r="B98" s="117" t="s">
        <v>154</v>
      </c>
      <c r="C98" s="93"/>
      <c r="D98" s="103"/>
      <c r="E98" s="137" t="s">
        <v>22</v>
      </c>
      <c r="F98" s="94">
        <v>1</v>
      </c>
      <c r="G98" s="95">
        <v>1500</v>
      </c>
      <c r="H98" s="95"/>
      <c r="I98" s="96">
        <f>F98*G98</f>
        <v>1500</v>
      </c>
    </row>
    <row r="99" spans="1:12" s="82" customFormat="1" ht="15.45" x14ac:dyDescent="0.35">
      <c r="A99" s="82">
        <v>10</v>
      </c>
      <c r="B99" s="63" t="s">
        <v>159</v>
      </c>
      <c r="C99" s="84">
        <v>46192</v>
      </c>
      <c r="D99" s="116"/>
      <c r="E99" s="136" t="s">
        <v>22</v>
      </c>
      <c r="F99" s="85">
        <v>2</v>
      </c>
      <c r="G99" s="86">
        <v>1500</v>
      </c>
      <c r="H99" s="86"/>
      <c r="I99" s="87">
        <f>F99*G99</f>
        <v>3000</v>
      </c>
    </row>
    <row r="100" spans="1:12" s="82" customFormat="1" ht="15.45" x14ac:dyDescent="0.35">
      <c r="A100" s="82">
        <v>11</v>
      </c>
      <c r="B100" s="63" t="s">
        <v>149</v>
      </c>
      <c r="C100" s="84">
        <v>46179</v>
      </c>
      <c r="D100" s="116"/>
      <c r="E100" s="136" t="s">
        <v>22</v>
      </c>
      <c r="F100" s="85">
        <v>1</v>
      </c>
      <c r="G100" s="86">
        <v>1500</v>
      </c>
      <c r="H100" s="86"/>
      <c r="I100" s="87">
        <f>F100*G100</f>
        <v>1500</v>
      </c>
    </row>
    <row r="101" spans="1:12" ht="15.45" x14ac:dyDescent="0.35">
      <c r="A101" s="82"/>
      <c r="B101" s="77" t="s">
        <v>14</v>
      </c>
      <c r="C101" s="78"/>
      <c r="D101" s="78"/>
      <c r="E101" s="135"/>
      <c r="F101" s="78"/>
      <c r="G101" s="79"/>
      <c r="H101" s="80"/>
      <c r="I101" s="81"/>
    </row>
    <row r="102" spans="1:12" ht="15.45" x14ac:dyDescent="0.35">
      <c r="A102" s="82"/>
      <c r="B102" s="92" t="s">
        <v>28</v>
      </c>
      <c r="C102" s="93">
        <v>44295</v>
      </c>
      <c r="D102" s="94"/>
      <c r="E102" s="137" t="s">
        <v>14</v>
      </c>
      <c r="F102" s="94">
        <v>2</v>
      </c>
      <c r="G102" s="95">
        <v>700</v>
      </c>
      <c r="H102" s="95"/>
      <c r="I102" s="96">
        <f>F102*G102</f>
        <v>1400</v>
      </c>
      <c r="K102" s="119"/>
    </row>
    <row r="103" spans="1:12" x14ac:dyDescent="0.3">
      <c r="A103" s="82"/>
      <c r="B103" s="77" t="s">
        <v>15</v>
      </c>
      <c r="C103" s="78"/>
      <c r="D103" s="78"/>
      <c r="E103" s="135"/>
      <c r="F103" s="78"/>
      <c r="G103" s="79"/>
      <c r="H103" s="80"/>
      <c r="I103" s="81"/>
    </row>
    <row r="104" spans="1:12" x14ac:dyDescent="0.3">
      <c r="A104" s="82"/>
      <c r="B104" s="83" t="s">
        <v>35</v>
      </c>
      <c r="C104" s="84">
        <v>43160</v>
      </c>
      <c r="D104" s="85"/>
      <c r="E104" s="136" t="s">
        <v>15</v>
      </c>
      <c r="F104" s="85">
        <v>2</v>
      </c>
      <c r="G104" s="120">
        <v>150</v>
      </c>
      <c r="H104" s="86"/>
      <c r="I104" s="87">
        <f>G104*F104</f>
        <v>300</v>
      </c>
    </row>
    <row r="105" spans="1:12" x14ac:dyDescent="0.3">
      <c r="A105" s="82"/>
      <c r="B105" s="83" t="s">
        <v>46</v>
      </c>
      <c r="C105" s="84">
        <v>45114</v>
      </c>
      <c r="D105" s="85"/>
      <c r="E105" s="136" t="s">
        <v>15</v>
      </c>
      <c r="F105" s="85">
        <v>2</v>
      </c>
      <c r="G105" s="120">
        <v>150</v>
      </c>
      <c r="H105" s="86"/>
      <c r="I105" s="87">
        <f>F105*G105</f>
        <v>300</v>
      </c>
    </row>
    <row r="106" spans="1:12" ht="15.45" x14ac:dyDescent="0.35">
      <c r="A106" s="82"/>
      <c r="B106" s="77" t="s">
        <v>10</v>
      </c>
      <c r="C106" s="78"/>
      <c r="D106" s="78"/>
      <c r="E106" s="135"/>
      <c r="F106" s="78"/>
      <c r="G106" s="79"/>
      <c r="H106" s="80"/>
      <c r="I106" s="81"/>
      <c r="K106" s="82"/>
      <c r="L106" s="82"/>
    </row>
    <row r="107" spans="1:12" ht="15.45" x14ac:dyDescent="0.35">
      <c r="A107" s="82"/>
      <c r="B107" s="92" t="s">
        <v>45</v>
      </c>
      <c r="C107" s="93">
        <v>45030</v>
      </c>
      <c r="D107" s="94"/>
      <c r="E107" s="137" t="s">
        <v>10</v>
      </c>
      <c r="F107" s="94">
        <v>1</v>
      </c>
      <c r="G107" s="121">
        <v>3500</v>
      </c>
      <c r="H107" s="95"/>
      <c r="I107" s="96">
        <f>F107*G107</f>
        <v>3500</v>
      </c>
      <c r="K107" s="105"/>
      <c r="L107" s="105"/>
    </row>
    <row r="108" spans="1:12" ht="15.45" x14ac:dyDescent="0.35">
      <c r="A108" s="82"/>
      <c r="B108" s="83" t="s">
        <v>140</v>
      </c>
      <c r="C108" s="84"/>
      <c r="D108" s="85"/>
      <c r="E108" s="136" t="s">
        <v>10</v>
      </c>
      <c r="F108" s="85"/>
      <c r="G108" s="120">
        <v>3000</v>
      </c>
      <c r="H108" s="86"/>
      <c r="I108" s="87">
        <f>G108*F108</f>
        <v>0</v>
      </c>
      <c r="K108" s="82"/>
      <c r="L108" s="82"/>
    </row>
    <row r="109" spans="1:12" x14ac:dyDescent="0.3">
      <c r="A109" s="82"/>
      <c r="B109" s="83" t="s">
        <v>116</v>
      </c>
      <c r="C109" s="84"/>
      <c r="D109" s="85"/>
      <c r="E109" s="136" t="s">
        <v>117</v>
      </c>
      <c r="F109" s="85"/>
      <c r="G109" s="120">
        <v>2000</v>
      </c>
      <c r="H109" s="86"/>
      <c r="I109" s="87">
        <f>F109*G109</f>
        <v>0</v>
      </c>
    </row>
    <row r="110" spans="1:12" ht="15.45" x14ac:dyDescent="0.35">
      <c r="A110" s="82"/>
      <c r="B110" s="92" t="s">
        <v>50</v>
      </c>
      <c r="C110" s="93">
        <v>45268</v>
      </c>
      <c r="D110" s="94"/>
      <c r="E110" s="137" t="s">
        <v>26</v>
      </c>
      <c r="F110" s="94">
        <v>2</v>
      </c>
      <c r="G110" s="121">
        <v>1750</v>
      </c>
      <c r="H110" s="95"/>
      <c r="I110" s="96">
        <f>F110*G110</f>
        <v>3500</v>
      </c>
    </row>
    <row r="111" spans="1:12" x14ac:dyDescent="0.3">
      <c r="A111" s="82"/>
      <c r="B111" s="92" t="s">
        <v>112</v>
      </c>
      <c r="C111" s="93"/>
      <c r="D111" s="94"/>
      <c r="E111" s="137" t="s">
        <v>111</v>
      </c>
      <c r="F111" s="94"/>
      <c r="G111" s="121">
        <v>3500</v>
      </c>
      <c r="H111" s="95"/>
      <c r="I111" s="96">
        <f>G111</f>
        <v>3500</v>
      </c>
    </row>
    <row r="112" spans="1:12" x14ac:dyDescent="0.3">
      <c r="A112" s="82"/>
      <c r="B112" s="92" t="s">
        <v>42</v>
      </c>
      <c r="C112" s="93">
        <v>44372</v>
      </c>
      <c r="D112" s="94"/>
      <c r="E112" s="137" t="s">
        <v>26</v>
      </c>
      <c r="F112" s="94"/>
      <c r="G112" s="121"/>
      <c r="H112" s="95"/>
      <c r="I112" s="96">
        <v>2500</v>
      </c>
      <c r="K112" s="105"/>
    </row>
    <row r="113" spans="1:11" ht="15.45" x14ac:dyDescent="0.35">
      <c r="A113" s="82"/>
      <c r="B113" s="92" t="s">
        <v>43</v>
      </c>
      <c r="C113" s="93">
        <v>44953</v>
      </c>
      <c r="D113" s="94"/>
      <c r="E113" s="137" t="s">
        <v>26</v>
      </c>
      <c r="F113" s="94"/>
      <c r="G113" s="121"/>
      <c r="H113" s="95"/>
      <c r="I113" s="96">
        <f>1000</f>
        <v>1000</v>
      </c>
      <c r="K113" s="105"/>
    </row>
    <row r="114" spans="1:11" x14ac:dyDescent="0.3">
      <c r="A114" s="82"/>
      <c r="B114" s="122" t="s">
        <v>25</v>
      </c>
      <c r="C114" s="123"/>
      <c r="D114" s="124"/>
      <c r="E114" s="141"/>
      <c r="F114" s="124"/>
      <c r="G114" s="124" t="s">
        <v>8</v>
      </c>
      <c r="H114" s="125"/>
      <c r="I114" s="64">
        <f>SUM(I9:I113)</f>
        <v>69045</v>
      </c>
    </row>
    <row r="115" spans="1:11" ht="15.45" x14ac:dyDescent="0.35">
      <c r="B115" s="126"/>
      <c r="C115" s="127"/>
      <c r="D115" s="126"/>
      <c r="F115" s="126"/>
      <c r="G115" s="126"/>
      <c r="H115" s="126"/>
      <c r="I115" s="128"/>
    </row>
    <row r="116" spans="1:11" ht="15.45" x14ac:dyDescent="0.35">
      <c r="I116" s="129"/>
    </row>
    <row r="117" spans="1:11" ht="15.45" x14ac:dyDescent="0.35">
      <c r="C117" s="65"/>
      <c r="G117" s="130"/>
      <c r="H117" s="130"/>
      <c r="J117" s="131"/>
    </row>
    <row r="118" spans="1:11" x14ac:dyDescent="0.3">
      <c r="C118" s="65"/>
      <c r="G118" s="130"/>
      <c r="H118" s="130"/>
      <c r="I118" s="131"/>
    </row>
    <row r="119" spans="1:11" x14ac:dyDescent="0.3">
      <c r="C119" s="65"/>
      <c r="G119" s="130"/>
      <c r="H119" s="130"/>
      <c r="I119" s="131"/>
    </row>
    <row r="120" spans="1:11" x14ac:dyDescent="0.3">
      <c r="C120" s="65"/>
      <c r="G120" s="130"/>
      <c r="H120" s="130"/>
      <c r="I120" s="131"/>
    </row>
    <row r="121" spans="1:11" x14ac:dyDescent="0.3">
      <c r="G121" s="130"/>
      <c r="H121" s="130"/>
    </row>
    <row r="122" spans="1:11" x14ac:dyDescent="0.3">
      <c r="C122" s="65"/>
      <c r="G122" s="130"/>
      <c r="H122" s="130"/>
    </row>
  </sheetData>
  <mergeCells count="2">
    <mergeCell ref="B5:C5"/>
    <mergeCell ref="B6:C6"/>
  </mergeCells>
  <printOptions horizontalCentered="1" verticalCentered="1"/>
  <pageMargins left="0.23622047244094491" right="0.23622047244094491" top="0.35433070866141736" bottom="0.94488188976377963" header="0.31496062992125984" footer="0.31496062992125984"/>
  <pageSetup scale="43" orientation="portrait" horizontalDpi="360" verticalDpi="360" r:id="rId1"/>
  <drawing r:id="rId2"/>
  <legacyDrawing r:id="rId3"/>
  <oleObjects>
    <mc:AlternateContent xmlns:mc="http://schemas.openxmlformats.org/markup-compatibility/2006">
      <mc:Choice Requires="x14">
        <oleObject progId="CorelDraw.Graphic.17" shapeId="1025" r:id="rId4">
          <objectPr defaultSize="0" autoPict="0" r:id="rId5">
            <anchor moveWithCells="1">
              <from>
                <xdr:col>1</xdr:col>
                <xdr:colOff>99060</xdr:colOff>
                <xdr:row>0</xdr:row>
                <xdr:rowOff>22860</xdr:rowOff>
              </from>
              <to>
                <xdr:col>1</xdr:col>
                <xdr:colOff>1600200</xdr:colOff>
                <xdr:row>3</xdr:row>
                <xdr:rowOff>0</xdr:rowOff>
              </to>
            </anchor>
          </objectPr>
        </oleObject>
      </mc:Choice>
      <mc:Fallback>
        <oleObject progId="CorelDraw.Graphic.17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I107"/>
  <sheetViews>
    <sheetView zoomScale="92" zoomScaleNormal="92" workbookViewId="0">
      <selection activeCell="D24" sqref="D24"/>
    </sheetView>
  </sheetViews>
  <sheetFormatPr baseColWidth="10" defaultRowHeight="14.4" x14ac:dyDescent="0.3"/>
  <cols>
    <col min="2" max="2" width="32" customWidth="1"/>
    <col min="3" max="3" width="18" style="12" customWidth="1"/>
    <col min="4" max="4" width="14.33203125" customWidth="1"/>
    <col min="5" max="5" width="18.109375" customWidth="1"/>
    <col min="6" max="6" width="27.21875" customWidth="1"/>
  </cols>
  <sheetData>
    <row r="1" spans="2:9" ht="14.25" customHeight="1" x14ac:dyDescent="0.35">
      <c r="B1" s="5"/>
      <c r="C1" s="22"/>
      <c r="D1" s="5"/>
      <c r="E1" s="5"/>
      <c r="F1" s="5"/>
    </row>
    <row r="2" spans="2:9" ht="14.55" x14ac:dyDescent="0.35">
      <c r="B2" s="5"/>
      <c r="C2" s="22"/>
      <c r="D2" s="5"/>
      <c r="E2" s="5"/>
      <c r="F2" s="5"/>
    </row>
    <row r="3" spans="2:9" ht="14.55" x14ac:dyDescent="0.35">
      <c r="B3" s="5"/>
      <c r="C3" s="22"/>
      <c r="D3" s="5"/>
      <c r="E3" s="5"/>
      <c r="F3" s="8"/>
    </row>
    <row r="4" spans="2:9" ht="14.55" x14ac:dyDescent="0.35">
      <c r="B4" s="5"/>
      <c r="C4" s="22"/>
      <c r="D4" s="5"/>
      <c r="E4" s="5"/>
      <c r="F4" s="8"/>
      <c r="I4" s="23"/>
    </row>
    <row r="5" spans="2:9" ht="15" thickBot="1" x14ac:dyDescent="0.4">
      <c r="B5" s="5"/>
      <c r="C5" s="22"/>
      <c r="D5" s="5"/>
      <c r="E5" s="5"/>
      <c r="F5" s="8"/>
      <c r="I5" s="23"/>
    </row>
    <row r="6" spans="2:9" ht="15.75" customHeight="1" thickBot="1" x14ac:dyDescent="0.4">
      <c r="B6" s="144" t="s">
        <v>157</v>
      </c>
      <c r="C6" s="145"/>
      <c r="D6" s="16"/>
      <c r="E6" s="5"/>
      <c r="F6" s="8"/>
      <c r="G6" s="10"/>
      <c r="I6" s="23"/>
    </row>
    <row r="7" spans="2:9" ht="15" thickBot="1" x14ac:dyDescent="0.4">
      <c r="B7" s="3"/>
      <c r="C7" s="13"/>
      <c r="D7" s="3"/>
      <c r="E7" s="5"/>
      <c r="F7" s="5"/>
      <c r="G7" s="10"/>
      <c r="I7" s="23"/>
    </row>
    <row r="8" spans="2:9" ht="15" thickBot="1" x14ac:dyDescent="0.4">
      <c r="B8" s="15" t="s">
        <v>2</v>
      </c>
      <c r="C8" s="15" t="s">
        <v>20</v>
      </c>
      <c r="D8" s="15" t="s">
        <v>4</v>
      </c>
      <c r="E8" s="15" t="s">
        <v>18</v>
      </c>
      <c r="F8" s="15" t="s">
        <v>17</v>
      </c>
      <c r="G8" s="10"/>
      <c r="I8" s="23"/>
    </row>
    <row r="9" spans="2:9" ht="32.4" customHeight="1" x14ac:dyDescent="0.3">
      <c r="B9" s="27" t="s">
        <v>40</v>
      </c>
      <c r="C9" s="32">
        <v>44743</v>
      </c>
      <c r="D9" s="27" t="s">
        <v>21</v>
      </c>
      <c r="E9" s="62">
        <v>3500</v>
      </c>
      <c r="F9" s="4"/>
      <c r="I9" s="23"/>
    </row>
    <row r="10" spans="2:9" ht="32.4" customHeight="1" x14ac:dyDescent="0.3">
      <c r="B10" s="27" t="s">
        <v>105</v>
      </c>
      <c r="C10" s="32">
        <v>46003</v>
      </c>
      <c r="D10" s="27" t="s">
        <v>21</v>
      </c>
      <c r="E10" s="62">
        <v>1500</v>
      </c>
      <c r="F10" s="4"/>
      <c r="I10" s="23"/>
    </row>
    <row r="11" spans="2:9" ht="32.4" customHeight="1" x14ac:dyDescent="0.3">
      <c r="B11" s="27" t="s">
        <v>95</v>
      </c>
      <c r="C11" s="32">
        <v>45897</v>
      </c>
      <c r="D11" s="27" t="s">
        <v>21</v>
      </c>
      <c r="E11" s="62">
        <f>1500</f>
        <v>1500</v>
      </c>
      <c r="F11" s="4"/>
      <c r="I11" s="23"/>
    </row>
    <row r="12" spans="2:9" ht="32.4" customHeight="1" x14ac:dyDescent="0.3">
      <c r="B12" s="27" t="s">
        <v>62</v>
      </c>
      <c r="C12" s="32">
        <v>45479</v>
      </c>
      <c r="D12" s="27" t="s">
        <v>21</v>
      </c>
      <c r="E12" s="62">
        <v>2600</v>
      </c>
      <c r="F12" s="4"/>
      <c r="I12" s="23"/>
    </row>
    <row r="13" spans="2:9" ht="32.4" customHeight="1" x14ac:dyDescent="0.35">
      <c r="B13" s="27" t="s">
        <v>48</v>
      </c>
      <c r="C13" s="32"/>
      <c r="D13" s="27" t="s">
        <v>49</v>
      </c>
      <c r="E13" s="62">
        <f>3500</f>
        <v>3500</v>
      </c>
      <c r="F13" s="4"/>
      <c r="I13" s="23"/>
    </row>
    <row r="14" spans="2:9" ht="14.55" x14ac:dyDescent="0.35">
      <c r="B14" s="2"/>
      <c r="C14" s="11"/>
      <c r="D14" s="2" t="s">
        <v>1</v>
      </c>
      <c r="E14" s="30">
        <f>SUM(E9:E13)</f>
        <v>12600</v>
      </c>
      <c r="F14" s="14"/>
      <c r="I14" s="10"/>
    </row>
    <row r="15" spans="2:9" ht="14.55" x14ac:dyDescent="0.35">
      <c r="B15" s="5"/>
      <c r="C15" s="22"/>
      <c r="D15" s="5"/>
      <c r="E15" s="5"/>
      <c r="F15" s="5"/>
      <c r="I15" s="10"/>
    </row>
    <row r="16" spans="2:9" ht="14.55" x14ac:dyDescent="0.35">
      <c r="B16" s="5"/>
      <c r="C16" s="22"/>
      <c r="D16" s="5"/>
      <c r="E16" s="5"/>
      <c r="F16" s="19" t="s">
        <v>8</v>
      </c>
      <c r="I16" s="10"/>
    </row>
    <row r="17" spans="3:9" ht="14.55" x14ac:dyDescent="0.35">
      <c r="F17" s="10"/>
      <c r="I17" s="10"/>
    </row>
    <row r="18" spans="3:9" ht="14.55" x14ac:dyDescent="0.35">
      <c r="F18" s="10"/>
    </row>
    <row r="19" spans="3:9" ht="14.55" x14ac:dyDescent="0.35">
      <c r="F19" s="10"/>
    </row>
    <row r="30" spans="3:9" ht="14.55" x14ac:dyDescent="0.35">
      <c r="C30"/>
    </row>
    <row r="31" spans="3:9" ht="14.55" x14ac:dyDescent="0.35">
      <c r="C31"/>
    </row>
    <row r="32" spans="3:9" ht="14.55" x14ac:dyDescent="0.35">
      <c r="C32"/>
    </row>
    <row r="33" spans="3:3" ht="14.55" x14ac:dyDescent="0.35">
      <c r="C33"/>
    </row>
    <row r="34" spans="3:3" ht="14.55" x14ac:dyDescent="0.35">
      <c r="C34"/>
    </row>
    <row r="35" spans="3:3" ht="14.55" x14ac:dyDescent="0.35">
      <c r="C35"/>
    </row>
    <row r="36" spans="3:3" ht="14.55" x14ac:dyDescent="0.35">
      <c r="C36"/>
    </row>
    <row r="37" spans="3:3" ht="14.55" x14ac:dyDescent="0.35">
      <c r="C37"/>
    </row>
    <row r="38" spans="3:3" ht="14.55" x14ac:dyDescent="0.35">
      <c r="C38"/>
    </row>
    <row r="39" spans="3:3" ht="14.55" x14ac:dyDescent="0.35">
      <c r="C39"/>
    </row>
    <row r="40" spans="3:3" ht="14.55" x14ac:dyDescent="0.35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</sheetData>
  <mergeCells count="1">
    <mergeCell ref="B6:C6"/>
  </mergeCells>
  <printOptions horizontalCentered="1" verticalCentered="1"/>
  <pageMargins left="0.70866141732283472" right="1.4960629921259843" top="0.74803149606299213" bottom="0.74803149606299213" header="0.31496062992125984" footer="0.31496062992125984"/>
  <pageSetup scale="92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7" shapeId="3073" r:id="rId4">
          <objectPr defaultSize="0" autoPict="0" r:id="rId5">
            <anchor moveWithCells="1">
              <from>
                <xdr:col>3</xdr:col>
                <xdr:colOff>22860</xdr:colOff>
                <xdr:row>1</xdr:row>
                <xdr:rowOff>22860</xdr:rowOff>
              </from>
              <to>
                <xdr:col>4</xdr:col>
                <xdr:colOff>175260</xdr:colOff>
                <xdr:row>3</xdr:row>
                <xdr:rowOff>7620</xdr:rowOff>
              </to>
            </anchor>
          </objectPr>
        </oleObject>
      </mc:Choice>
      <mc:Fallback>
        <oleObject progId="CorelDraw.Graphic.17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4:O34"/>
  <sheetViews>
    <sheetView tabSelected="1" zoomScale="83" zoomScaleNormal="83" workbookViewId="0">
      <selection activeCell="K24" sqref="B1:K24"/>
    </sheetView>
  </sheetViews>
  <sheetFormatPr baseColWidth="10" defaultRowHeight="14.4" x14ac:dyDescent="0.3"/>
  <cols>
    <col min="2" max="2" width="19.44140625" customWidth="1"/>
    <col min="3" max="3" width="10.44140625" style="20" customWidth="1"/>
    <col min="4" max="4" width="10.44140625" customWidth="1"/>
    <col min="5" max="10" width="10.88671875" customWidth="1"/>
    <col min="11" max="11" width="25.33203125" customWidth="1"/>
  </cols>
  <sheetData>
    <row r="4" spans="2:15" ht="14.55" x14ac:dyDescent="0.35">
      <c r="E4" t="s">
        <v>8</v>
      </c>
      <c r="N4" s="10"/>
    </row>
    <row r="5" spans="2:15" ht="15" thickBot="1" x14ac:dyDescent="0.4">
      <c r="N5" s="10"/>
    </row>
    <row r="6" spans="2:15" ht="18" customHeight="1" thickBot="1" x14ac:dyDescent="0.4">
      <c r="B6" s="146" t="s">
        <v>157</v>
      </c>
      <c r="C6" s="147"/>
      <c r="D6" s="148"/>
      <c r="L6" s="17"/>
      <c r="N6" s="10"/>
    </row>
    <row r="7" spans="2:15" ht="15" thickBot="1" x14ac:dyDescent="0.4">
      <c r="B7" s="1"/>
      <c r="C7" s="25"/>
      <c r="D7" s="9"/>
      <c r="E7" s="8"/>
      <c r="F7" s="8"/>
      <c r="G7" s="8"/>
      <c r="H7" s="8"/>
      <c r="I7" s="8"/>
      <c r="J7" s="8"/>
      <c r="K7" s="9"/>
      <c r="L7" s="18"/>
      <c r="N7" s="10"/>
    </row>
    <row r="8" spans="2:15" ht="15" thickBot="1" x14ac:dyDescent="0.35">
      <c r="B8" s="15" t="s">
        <v>2</v>
      </c>
      <c r="C8" s="15" t="s">
        <v>4</v>
      </c>
      <c r="D8" s="15" t="s">
        <v>59</v>
      </c>
      <c r="E8" s="15" t="s">
        <v>27</v>
      </c>
      <c r="F8" s="15" t="s">
        <v>61</v>
      </c>
      <c r="G8" s="15" t="s">
        <v>60</v>
      </c>
      <c r="H8" s="15" t="s">
        <v>27</v>
      </c>
      <c r="I8" s="15" t="s">
        <v>61</v>
      </c>
      <c r="J8" s="15" t="s">
        <v>1</v>
      </c>
      <c r="K8" s="15" t="s">
        <v>17</v>
      </c>
      <c r="L8" s="18"/>
      <c r="M8" s="7"/>
      <c r="N8" s="10"/>
    </row>
    <row r="9" spans="2:15" ht="34.950000000000003" customHeight="1" x14ac:dyDescent="0.35">
      <c r="B9" s="44" t="s">
        <v>151</v>
      </c>
      <c r="C9" s="45" t="s">
        <v>16</v>
      </c>
      <c r="D9" s="46">
        <v>300</v>
      </c>
      <c r="E9" s="47" t="s">
        <v>137</v>
      </c>
      <c r="F9" s="48">
        <f>D9*E9</f>
        <v>300</v>
      </c>
      <c r="G9" s="46">
        <v>200</v>
      </c>
      <c r="H9" s="47"/>
      <c r="I9" s="48">
        <f>G9*H9</f>
        <v>0</v>
      </c>
      <c r="J9" s="48">
        <f>F9+I9</f>
        <v>300</v>
      </c>
      <c r="K9" s="49"/>
      <c r="L9" s="18"/>
      <c r="M9" s="6"/>
      <c r="N9" s="10"/>
      <c r="O9" s="5"/>
    </row>
    <row r="10" spans="2:15" ht="34.950000000000003" customHeight="1" x14ac:dyDescent="0.35">
      <c r="B10" s="50" t="s">
        <v>155</v>
      </c>
      <c r="C10" s="26" t="s">
        <v>16</v>
      </c>
      <c r="D10" s="28">
        <v>300</v>
      </c>
      <c r="E10" s="31"/>
      <c r="F10" s="29">
        <f t="shared" ref="F10:F19" si="0">D10*E10</f>
        <v>0</v>
      </c>
      <c r="G10" s="28">
        <v>200</v>
      </c>
      <c r="H10" s="31"/>
      <c r="I10" s="29">
        <f t="shared" ref="I10:I19" si="1">G10*H10</f>
        <v>0</v>
      </c>
      <c r="J10" s="29">
        <f>F10+I10</f>
        <v>0</v>
      </c>
      <c r="K10" s="51"/>
      <c r="L10" s="18"/>
      <c r="M10" s="7"/>
      <c r="N10" s="10"/>
    </row>
    <row r="11" spans="2:15" ht="34.950000000000003" customHeight="1" x14ac:dyDescent="0.35">
      <c r="B11" s="50" t="s">
        <v>102</v>
      </c>
      <c r="C11" s="26" t="s">
        <v>16</v>
      </c>
      <c r="D11" s="28">
        <v>300</v>
      </c>
      <c r="E11" s="31"/>
      <c r="F11" s="29">
        <f t="shared" si="0"/>
        <v>0</v>
      </c>
      <c r="G11" s="28">
        <v>200</v>
      </c>
      <c r="H11" s="31"/>
      <c r="I11" s="29">
        <f t="shared" si="1"/>
        <v>0</v>
      </c>
      <c r="J11" s="29">
        <f>F11+I11</f>
        <v>0</v>
      </c>
      <c r="K11" s="51"/>
      <c r="L11" s="18"/>
      <c r="M11" s="7"/>
      <c r="N11" s="10"/>
    </row>
    <row r="12" spans="2:15" ht="34.950000000000003" customHeight="1" x14ac:dyDescent="0.35">
      <c r="B12" s="50" t="s">
        <v>160</v>
      </c>
      <c r="C12" s="26" t="s">
        <v>16</v>
      </c>
      <c r="D12" s="28">
        <v>300</v>
      </c>
      <c r="E12" s="31" t="s">
        <v>156</v>
      </c>
      <c r="F12" s="29">
        <f t="shared" si="0"/>
        <v>600</v>
      </c>
      <c r="G12" s="28">
        <v>200</v>
      </c>
      <c r="H12" s="31"/>
      <c r="I12" s="29">
        <f t="shared" si="1"/>
        <v>0</v>
      </c>
      <c r="J12" s="29">
        <f t="shared" ref="J12:J15" si="2">F12+I12</f>
        <v>600</v>
      </c>
      <c r="K12" s="51"/>
      <c r="L12" s="18"/>
      <c r="M12" s="7"/>
      <c r="N12" s="10"/>
    </row>
    <row r="13" spans="2:15" ht="34.950000000000003" customHeight="1" x14ac:dyDescent="0.35">
      <c r="B13" s="50" t="s">
        <v>65</v>
      </c>
      <c r="C13" s="26" t="s">
        <v>16</v>
      </c>
      <c r="D13" s="28">
        <v>300</v>
      </c>
      <c r="E13" s="31"/>
      <c r="F13" s="29">
        <f t="shared" si="0"/>
        <v>0</v>
      </c>
      <c r="G13" s="28">
        <v>200</v>
      </c>
      <c r="H13" s="31"/>
      <c r="I13" s="29">
        <f t="shared" si="1"/>
        <v>0</v>
      </c>
      <c r="J13" s="29">
        <f>F13+I13</f>
        <v>0</v>
      </c>
      <c r="K13" s="51"/>
      <c r="L13" s="18"/>
      <c r="M13" s="7"/>
      <c r="N13" s="10"/>
    </row>
    <row r="14" spans="2:15" ht="34.950000000000003" customHeight="1" x14ac:dyDescent="0.35">
      <c r="B14" s="50" t="s">
        <v>106</v>
      </c>
      <c r="C14" s="26" t="s">
        <v>16</v>
      </c>
      <c r="D14" s="28">
        <v>300</v>
      </c>
      <c r="E14" s="31"/>
      <c r="F14" s="29">
        <f t="shared" si="0"/>
        <v>0</v>
      </c>
      <c r="G14" s="28">
        <v>200</v>
      </c>
      <c r="H14" s="31" t="s">
        <v>137</v>
      </c>
      <c r="I14" s="29">
        <f t="shared" si="1"/>
        <v>200</v>
      </c>
      <c r="J14" s="29">
        <f>F14+I14</f>
        <v>200</v>
      </c>
      <c r="K14" s="51"/>
      <c r="L14" s="18"/>
      <c r="M14" s="7"/>
      <c r="N14" s="10"/>
    </row>
    <row r="15" spans="2:15" ht="34.950000000000003" customHeight="1" x14ac:dyDescent="0.35">
      <c r="B15" s="50" t="s">
        <v>127</v>
      </c>
      <c r="C15" s="26" t="s">
        <v>16</v>
      </c>
      <c r="D15" s="28">
        <v>300</v>
      </c>
      <c r="E15" s="31"/>
      <c r="F15" s="29">
        <f t="shared" si="0"/>
        <v>0</v>
      </c>
      <c r="G15" s="28">
        <v>200</v>
      </c>
      <c r="H15" s="31"/>
      <c r="I15" s="29">
        <f>G15*H15</f>
        <v>0</v>
      </c>
      <c r="J15" s="29">
        <f t="shared" si="2"/>
        <v>0</v>
      </c>
      <c r="K15" s="51"/>
      <c r="L15" s="18"/>
      <c r="M15" s="7"/>
      <c r="N15" s="10"/>
    </row>
    <row r="16" spans="2:15" ht="34.950000000000003" customHeight="1" x14ac:dyDescent="0.35">
      <c r="B16" s="50" t="s">
        <v>118</v>
      </c>
      <c r="C16" s="26" t="s">
        <v>16</v>
      </c>
      <c r="D16" s="28">
        <v>300</v>
      </c>
      <c r="E16" s="31"/>
      <c r="F16" s="29">
        <f t="shared" si="0"/>
        <v>0</v>
      </c>
      <c r="G16" s="28">
        <v>200</v>
      </c>
      <c r="H16" s="31"/>
      <c r="I16" s="29">
        <f t="shared" si="1"/>
        <v>0</v>
      </c>
      <c r="J16" s="29">
        <f>F16+I16</f>
        <v>0</v>
      </c>
      <c r="K16" s="51"/>
      <c r="L16" s="18"/>
      <c r="M16" s="7"/>
      <c r="N16" s="10"/>
    </row>
    <row r="17" spans="2:14" ht="34.950000000000003" customHeight="1" x14ac:dyDescent="0.35">
      <c r="B17" s="50" t="s">
        <v>113</v>
      </c>
      <c r="C17" s="26" t="s">
        <v>16</v>
      </c>
      <c r="D17" s="28">
        <v>300</v>
      </c>
      <c r="E17" s="31"/>
      <c r="F17" s="29">
        <f t="shared" si="0"/>
        <v>0</v>
      </c>
      <c r="G17" s="28">
        <v>200</v>
      </c>
      <c r="H17" s="31"/>
      <c r="I17" s="29">
        <f>G17*H17</f>
        <v>0</v>
      </c>
      <c r="J17" s="29">
        <f>F17+I17</f>
        <v>0</v>
      </c>
      <c r="K17" s="51"/>
      <c r="L17" s="18"/>
      <c r="M17" s="7"/>
      <c r="N17" s="10"/>
    </row>
    <row r="18" spans="2:14" ht="34.950000000000003" customHeight="1" x14ac:dyDescent="0.35">
      <c r="B18" s="50" t="s">
        <v>125</v>
      </c>
      <c r="C18" s="26" t="s">
        <v>16</v>
      </c>
      <c r="D18" s="28">
        <v>300</v>
      </c>
      <c r="E18" s="31"/>
      <c r="F18" s="29">
        <f t="shared" si="0"/>
        <v>0</v>
      </c>
      <c r="G18" s="28">
        <v>200</v>
      </c>
      <c r="H18" s="31"/>
      <c r="I18" s="29">
        <f>G18*H18</f>
        <v>0</v>
      </c>
      <c r="J18" s="29">
        <f>F18+I18</f>
        <v>0</v>
      </c>
      <c r="K18" s="51"/>
      <c r="L18" s="10"/>
      <c r="N18" s="10"/>
    </row>
    <row r="19" spans="2:14" ht="34.950000000000003" customHeight="1" x14ac:dyDescent="0.35">
      <c r="B19" s="50" t="s">
        <v>150</v>
      </c>
      <c r="C19" s="26" t="s">
        <v>16</v>
      </c>
      <c r="D19" s="28">
        <v>300</v>
      </c>
      <c r="E19" s="31"/>
      <c r="F19" s="29">
        <f t="shared" si="0"/>
        <v>0</v>
      </c>
      <c r="G19" s="28">
        <v>200</v>
      </c>
      <c r="H19" s="31" t="s">
        <v>137</v>
      </c>
      <c r="I19" s="29">
        <f t="shared" si="1"/>
        <v>200</v>
      </c>
      <c r="J19" s="29">
        <f>F19+I19</f>
        <v>200</v>
      </c>
      <c r="K19" s="51"/>
      <c r="L19" s="10"/>
      <c r="N19" s="10"/>
    </row>
    <row r="20" spans="2:14" ht="34.950000000000003" customHeight="1" x14ac:dyDescent="0.35">
      <c r="B20" s="59" t="s">
        <v>133</v>
      </c>
      <c r="C20" s="26" t="s">
        <v>16</v>
      </c>
      <c r="D20" s="28">
        <v>300</v>
      </c>
      <c r="E20" s="31"/>
      <c r="F20" s="29">
        <f t="shared" ref="F20" si="3">D20*E20</f>
        <v>0</v>
      </c>
      <c r="G20" s="28">
        <v>200</v>
      </c>
      <c r="H20" s="60"/>
      <c r="I20" s="29">
        <f t="shared" ref="I20" si="4">G20*H20</f>
        <v>0</v>
      </c>
      <c r="J20" s="29">
        <f t="shared" ref="J20" si="5">F20+I20</f>
        <v>0</v>
      </c>
      <c r="K20" s="61"/>
      <c r="L20" s="10"/>
      <c r="N20" s="10"/>
    </row>
    <row r="21" spans="2:14" ht="34.950000000000003" customHeight="1" x14ac:dyDescent="0.35">
      <c r="B21" s="59" t="s">
        <v>131</v>
      </c>
      <c r="C21" s="26" t="s">
        <v>16</v>
      </c>
      <c r="D21" s="28">
        <v>300</v>
      </c>
      <c r="E21" s="31"/>
      <c r="F21" s="29">
        <f t="shared" ref="F21" si="6">D21*E21</f>
        <v>0</v>
      </c>
      <c r="G21" s="28">
        <v>200</v>
      </c>
      <c r="H21" s="60"/>
      <c r="I21" s="29">
        <f t="shared" ref="I21" si="7">G21*H21</f>
        <v>0</v>
      </c>
      <c r="J21" s="29">
        <f t="shared" ref="J21" si="8">F21+I21</f>
        <v>0</v>
      </c>
      <c r="K21" s="61"/>
      <c r="L21" s="10"/>
      <c r="N21" s="10"/>
    </row>
    <row r="22" spans="2:14" ht="34.950000000000003" customHeight="1" thickBot="1" x14ac:dyDescent="0.4">
      <c r="B22" s="52" t="s">
        <v>130</v>
      </c>
      <c r="C22" s="53" t="s">
        <v>16</v>
      </c>
      <c r="D22" s="54">
        <v>300</v>
      </c>
      <c r="E22" s="55"/>
      <c r="F22" s="56">
        <f>D22*E22</f>
        <v>0</v>
      </c>
      <c r="G22" s="54">
        <v>200</v>
      </c>
      <c r="H22" s="55"/>
      <c r="I22" s="56">
        <f t="shared" ref="I22" si="9">G22*H22</f>
        <v>0</v>
      </c>
      <c r="J22" s="56">
        <f>F22+I22</f>
        <v>0</v>
      </c>
      <c r="K22" s="57"/>
      <c r="L22" s="10"/>
      <c r="N22" s="10"/>
    </row>
    <row r="23" spans="2:14" ht="22.5" customHeight="1" thickBot="1" x14ac:dyDescent="0.4">
      <c r="B23" s="33"/>
      <c r="C23" s="34"/>
      <c r="D23" s="35"/>
      <c r="E23" s="36"/>
      <c r="F23" s="37"/>
      <c r="G23" s="35"/>
      <c r="H23" s="36"/>
      <c r="I23" s="37"/>
      <c r="J23" s="37"/>
      <c r="K23" s="38"/>
      <c r="L23" s="10"/>
      <c r="N23" s="10"/>
    </row>
    <row r="24" spans="2:14" ht="23.55" customHeight="1" thickBot="1" x14ac:dyDescent="0.4">
      <c r="D24" s="24"/>
      <c r="E24" s="39" t="s">
        <v>24</v>
      </c>
      <c r="F24" s="41">
        <f>SUM(F9:F22)</f>
        <v>900</v>
      </c>
      <c r="G24" s="42"/>
      <c r="H24" s="42" t="s">
        <v>24</v>
      </c>
      <c r="I24" s="41">
        <f>SUM(I9:I22)</f>
        <v>400</v>
      </c>
      <c r="J24" s="43">
        <f>SUM(J9:J22)</f>
        <v>1300</v>
      </c>
      <c r="K24" s="40"/>
      <c r="L24" s="10"/>
      <c r="N24" s="10"/>
    </row>
    <row r="25" spans="2:14" ht="14.55" x14ac:dyDescent="0.35">
      <c r="D25" s="6"/>
      <c r="K25" s="1"/>
      <c r="L25" s="17"/>
      <c r="N25" s="10"/>
    </row>
    <row r="26" spans="2:14" ht="14.55" x14ac:dyDescent="0.35">
      <c r="B26" s="1"/>
      <c r="C26" s="21"/>
      <c r="D26" s="1"/>
      <c r="K26" s="1"/>
      <c r="L26" s="17"/>
      <c r="N26" s="10"/>
    </row>
    <row r="27" spans="2:14" ht="14.55" x14ac:dyDescent="0.35">
      <c r="B27" s="1"/>
      <c r="C27" s="21"/>
      <c r="D27" s="1"/>
      <c r="K27" s="1"/>
      <c r="N27" s="10"/>
    </row>
    <row r="28" spans="2:14" ht="14.55" x14ac:dyDescent="0.35">
      <c r="B28" s="1"/>
      <c r="C28" s="21"/>
      <c r="D28" s="1"/>
      <c r="K28" s="1"/>
      <c r="N28" s="10"/>
    </row>
    <row r="29" spans="2:14" ht="14.55" x14ac:dyDescent="0.35">
      <c r="B29" s="1"/>
      <c r="C29" s="21"/>
      <c r="D29" s="1"/>
      <c r="K29" s="1"/>
      <c r="N29" s="10"/>
    </row>
    <row r="30" spans="2:14" ht="14.55" x14ac:dyDescent="0.35">
      <c r="N30" s="10"/>
    </row>
    <row r="31" spans="2:14" x14ac:dyDescent="0.3">
      <c r="N31" s="10"/>
    </row>
    <row r="32" spans="2:14" x14ac:dyDescent="0.3">
      <c r="N32" s="10"/>
    </row>
    <row r="33" spans="14:14" x14ac:dyDescent="0.3">
      <c r="N33" s="10"/>
    </row>
    <row r="34" spans="14:14" x14ac:dyDescent="0.3">
      <c r="N34" s="10"/>
    </row>
  </sheetData>
  <mergeCells count="1">
    <mergeCell ref="B6:D6"/>
  </mergeCells>
  <printOptions horizontalCentered="1" verticalCentered="1"/>
  <pageMargins left="0.59055118110236227" right="1.1811023622047245" top="0" bottom="0" header="0" footer="0"/>
  <pageSetup scale="81" orientation="landscape" r:id="rId1"/>
  <drawing r:id="rId2"/>
  <legacyDrawing r:id="rId3"/>
  <oleObjects>
    <mc:AlternateContent xmlns:mc="http://schemas.openxmlformats.org/markup-compatibility/2006">
      <mc:Choice Requires="x14">
        <oleObject progId="CorelDraw.Graphic.17" shapeId="2049" r:id="rId4">
          <objectPr defaultSize="0" autoPict="0" r:id="rId5">
            <anchor moveWithCells="1">
              <from>
                <xdr:col>1</xdr:col>
                <xdr:colOff>601980</xdr:colOff>
                <xdr:row>0</xdr:row>
                <xdr:rowOff>91440</xdr:rowOff>
              </from>
              <to>
                <xdr:col>2</xdr:col>
                <xdr:colOff>312420</xdr:colOff>
                <xdr:row>2</xdr:row>
                <xdr:rowOff>99060</xdr:rowOff>
              </to>
            </anchor>
          </objectPr>
        </oleObject>
      </mc:Choice>
      <mc:Fallback>
        <oleObject progId="CorelDraw.Graphic.17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19.20 JUNIO</vt:lpstr>
      <vt:lpstr>Nómina Op.</vt:lpstr>
      <vt:lpstr>RP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Martha</cp:lastModifiedBy>
  <cp:lastPrinted>2026-06-26T23:43:41Z</cp:lastPrinted>
  <dcterms:created xsi:type="dcterms:W3CDTF">2013-07-01T18:35:46Z</dcterms:created>
  <dcterms:modified xsi:type="dcterms:W3CDTF">2026-07-09T20:50:49Z</dcterms:modified>
</cp:coreProperties>
</file>